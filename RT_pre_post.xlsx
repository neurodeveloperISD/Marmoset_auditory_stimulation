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dmorya\Documents\Firmino\paper_final\"/>
    </mc:Choice>
  </mc:AlternateContent>
  <bookViews>
    <workbookView xWindow="0" yWindow="0" windowWidth="28800" windowHeight="16125" tabRatio="849"/>
  </bookViews>
  <sheets>
    <sheet name="M1_Initial_training_stage" sheetId="8" r:id="rId1"/>
    <sheet name="M2_Initial_training_stage" sheetId="9" r:id="rId2"/>
    <sheet name="M3_Initial_training_stage" sheetId="10" r:id="rId3"/>
    <sheet name="M1_Final_training_stage" sheetId="11" r:id="rId4"/>
    <sheet name="M2_Final_training_stage" sheetId="12" r:id="rId5"/>
    <sheet name="M3_Final_training_stage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BWDpRtjfWdhAWNmLVrPBL99MVMyYJmDwDm6HQ/RZ+MM="/>
    </ext>
  </extLst>
</workbook>
</file>

<file path=xl/calcChain.xml><?xml version="1.0" encoding="utf-8"?>
<calcChain xmlns="http://schemas.openxmlformats.org/spreadsheetml/2006/main">
  <c r="K14" i="10" l="1"/>
  <c r="E14" i="10"/>
  <c r="K14" i="9"/>
  <c r="E14" i="9"/>
  <c r="K14" i="8"/>
  <c r="E14" i="8"/>
  <c r="K14" i="13"/>
  <c r="E14" i="13"/>
  <c r="K14" i="12"/>
  <c r="E14" i="12"/>
  <c r="E14" i="11"/>
  <c r="K14" i="11"/>
  <c r="I14" i="13"/>
  <c r="C14" i="13"/>
  <c r="I14" i="12"/>
  <c r="C14" i="12"/>
  <c r="I14" i="11"/>
  <c r="C14" i="11"/>
  <c r="I14" i="10"/>
  <c r="C14" i="10"/>
  <c r="I14" i="9"/>
  <c r="C14" i="9"/>
  <c r="I14" i="8"/>
  <c r="C14" i="8"/>
</calcChain>
</file>

<file path=xl/sharedStrings.xml><?xml version="1.0" encoding="utf-8"?>
<sst xmlns="http://schemas.openxmlformats.org/spreadsheetml/2006/main" count="78" uniqueCount="8">
  <si>
    <t>SD</t>
  </si>
  <si>
    <t>Mean</t>
  </si>
  <si>
    <t>Correct</t>
  </si>
  <si>
    <t>Incorrect</t>
  </si>
  <si>
    <t>Mean of Means</t>
  </si>
  <si>
    <t>Mean os Means</t>
  </si>
  <si>
    <t>Sequence of the session</t>
  </si>
  <si>
    <t>Number of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</si>
</sst>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B7B7B7"/>
      <name val="Calibri"/>
    </font>
    <font>
      <sz val="11"/>
      <color rgb="FF999999"/>
      <name val="Calibri"/>
    </font>
    <font>
      <sz val="7"/>
      <color rgb="FF000000"/>
      <name val="Quattrocento Sans"/>
    </font>
    <font>
      <b/>
      <sz val="7"/>
      <color rgb="FF000000"/>
      <name val="Quattrocento Sans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66FF33"/>
        <bgColor rgb="FF66FF3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6FF3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4F8F9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1" fillId="4" borderId="0" xfId="0" applyFont="1" applyFill="1" applyAlignment="1"/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49" fontId="8" fillId="4" borderId="0" xfId="0" applyNumberFormat="1" applyFont="1" applyFill="1"/>
    <xf numFmtId="49" fontId="8" fillId="4" borderId="0" xfId="0" applyNumberFormat="1" applyFont="1" applyFill="1" applyAlignment="1">
      <alignment horizontal="left"/>
    </xf>
    <xf numFmtId="0" fontId="8" fillId="4" borderId="0" xfId="0" applyFont="1" applyFill="1"/>
    <xf numFmtId="0" fontId="0" fillId="4" borderId="0" xfId="0" applyFont="1" applyFill="1" applyAlignment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49" fontId="2" fillId="4" borderId="0" xfId="0" applyNumberFormat="1" applyFont="1" applyFill="1"/>
    <xf numFmtId="0" fontId="2" fillId="4" borderId="0" xfId="0" applyFont="1" applyFill="1"/>
    <xf numFmtId="0" fontId="3" fillId="4" borderId="0" xfId="0" applyFont="1" applyFill="1" applyAlignment="1"/>
    <xf numFmtId="9" fontId="2" fillId="4" borderId="0" xfId="0" applyNumberFormat="1" applyFont="1" applyFill="1"/>
    <xf numFmtId="0" fontId="2" fillId="4" borderId="0" xfId="0" applyFont="1" applyFill="1" applyAlignment="1">
      <alignment horizontal="center"/>
    </xf>
    <xf numFmtId="0" fontId="6" fillId="6" borderId="2" xfId="0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/>
    </xf>
    <xf numFmtId="2" fontId="3" fillId="0" borderId="0" xfId="0" applyNumberFormat="1" applyFont="1"/>
    <xf numFmtId="2" fontId="0" fillId="0" borderId="0" xfId="0" applyNumberFormat="1" applyFont="1" applyAlignment="1"/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4"/>
  <sheetViews>
    <sheetView tabSelected="1" zoomScale="70" zoomScaleNormal="70" workbookViewId="0">
      <selection activeCell="A7" sqref="A7"/>
    </sheetView>
  </sheetViews>
  <sheetFormatPr defaultColWidth="14.5" defaultRowHeight="15" customHeight="1"/>
  <cols>
    <col min="1" max="1" width="28.625" customWidth="1"/>
    <col min="2" max="2" width="21.5" customWidth="1"/>
    <col min="12" max="12" width="14.5" style="10"/>
    <col min="13" max="13" width="21.5" style="10" customWidth="1"/>
    <col min="14" max="14" width="20.375" style="10" customWidth="1"/>
    <col min="15" max="24" width="14.5" style="10"/>
  </cols>
  <sheetData>
    <row r="1" spans="1:18">
      <c r="B1" s="2"/>
      <c r="C1" s="5" t="s">
        <v>2</v>
      </c>
      <c r="D1" s="2"/>
      <c r="E1" s="2"/>
      <c r="F1" s="2"/>
      <c r="G1" s="2"/>
      <c r="H1" s="2"/>
      <c r="I1" s="5" t="s">
        <v>3</v>
      </c>
      <c r="J1" s="2"/>
      <c r="K1" s="2"/>
    </row>
    <row r="2" spans="1:18">
      <c r="A2" s="5" t="s">
        <v>6</v>
      </c>
      <c r="B2" s="5" t="s">
        <v>7</v>
      </c>
      <c r="C2" s="5" t="s">
        <v>1</v>
      </c>
      <c r="D2" s="5"/>
      <c r="E2" s="5" t="s">
        <v>0</v>
      </c>
      <c r="F2" s="5"/>
      <c r="G2" s="5"/>
      <c r="H2" s="5" t="s">
        <v>7</v>
      </c>
      <c r="I2" s="5" t="s">
        <v>1</v>
      </c>
      <c r="J2" s="5"/>
      <c r="K2" s="5" t="s">
        <v>0</v>
      </c>
      <c r="L2" s="11"/>
      <c r="M2" s="12"/>
      <c r="N2" s="12"/>
      <c r="O2" s="12"/>
      <c r="P2" s="12"/>
      <c r="Q2" s="12"/>
      <c r="R2" s="12"/>
    </row>
    <row r="3" spans="1:18">
      <c r="A3" s="2">
        <v>1</v>
      </c>
      <c r="B3" s="1">
        <v>30</v>
      </c>
      <c r="C3" s="1">
        <v>2627.0666666666698</v>
      </c>
      <c r="D3" s="1"/>
      <c r="E3" s="1"/>
      <c r="H3" s="1">
        <v>23</v>
      </c>
      <c r="I3" s="1">
        <v>2785.47826086957</v>
      </c>
      <c r="J3" s="1"/>
      <c r="K3" s="1"/>
      <c r="M3" s="13"/>
      <c r="N3" s="14"/>
      <c r="O3" s="15"/>
      <c r="P3" s="15"/>
      <c r="Q3" s="15"/>
      <c r="R3" s="15"/>
    </row>
    <row r="4" spans="1:18">
      <c r="A4" s="2">
        <v>2</v>
      </c>
      <c r="B4" s="1">
        <v>32</v>
      </c>
      <c r="C4" s="1">
        <v>1540.09375</v>
      </c>
      <c r="D4" s="1"/>
      <c r="E4" s="1"/>
      <c r="H4" s="1">
        <v>24</v>
      </c>
      <c r="I4" s="1">
        <v>2302.4166666666702</v>
      </c>
      <c r="J4" s="1"/>
      <c r="K4" s="1"/>
      <c r="M4" s="14"/>
      <c r="N4" s="13"/>
      <c r="O4" s="15"/>
      <c r="P4" s="15"/>
      <c r="Q4" s="15"/>
      <c r="R4" s="15"/>
    </row>
    <row r="5" spans="1:18">
      <c r="A5" s="2">
        <v>3</v>
      </c>
      <c r="B5" s="1">
        <v>25</v>
      </c>
      <c r="C5" s="1">
        <v>1879.8</v>
      </c>
      <c r="D5" s="1"/>
      <c r="E5" s="1"/>
      <c r="H5" s="1">
        <v>22</v>
      </c>
      <c r="I5" s="1">
        <v>3900.8181818181802</v>
      </c>
      <c r="J5" s="1"/>
      <c r="K5" s="1"/>
      <c r="M5" s="13"/>
      <c r="N5" s="13"/>
      <c r="O5" s="15"/>
      <c r="P5" s="15"/>
      <c r="Q5" s="15"/>
      <c r="R5" s="15"/>
    </row>
    <row r="6" spans="1:18">
      <c r="A6" s="2">
        <v>4</v>
      </c>
      <c r="B6" s="1">
        <v>28</v>
      </c>
      <c r="C6" s="1">
        <v>1978.0357142857099</v>
      </c>
      <c r="D6" s="1"/>
      <c r="E6" s="1"/>
      <c r="F6" s="2"/>
      <c r="G6" s="2"/>
      <c r="H6" s="1">
        <v>23</v>
      </c>
      <c r="I6" s="1">
        <v>2312.1304347826099</v>
      </c>
      <c r="J6" s="1"/>
      <c r="K6" s="1"/>
      <c r="M6" s="13"/>
      <c r="N6" s="13"/>
      <c r="O6" s="15"/>
      <c r="P6" s="15"/>
      <c r="Q6" s="15"/>
      <c r="R6" s="15"/>
    </row>
    <row r="7" spans="1:18">
      <c r="A7" s="2">
        <v>5</v>
      </c>
      <c r="B7" s="1">
        <v>34</v>
      </c>
      <c r="C7" s="1">
        <v>3134.3529411764698</v>
      </c>
      <c r="D7" s="1"/>
      <c r="E7" s="1"/>
      <c r="F7" s="2"/>
      <c r="G7" s="2"/>
      <c r="H7" s="1">
        <v>23</v>
      </c>
      <c r="I7" s="1">
        <v>2696.9130434782601</v>
      </c>
      <c r="J7" s="1"/>
      <c r="K7" s="1"/>
      <c r="M7" s="13"/>
      <c r="N7" s="13"/>
      <c r="O7" s="15"/>
      <c r="P7" s="15"/>
      <c r="Q7" s="15"/>
      <c r="R7" s="15"/>
    </row>
    <row r="8" spans="1:18">
      <c r="A8" s="2">
        <v>6</v>
      </c>
      <c r="B8" s="1">
        <v>29</v>
      </c>
      <c r="C8" s="1">
        <v>2034.48275862069</v>
      </c>
      <c r="D8" s="1"/>
      <c r="E8" s="1"/>
      <c r="F8" s="2"/>
      <c r="G8" s="2"/>
      <c r="H8" s="1">
        <v>26</v>
      </c>
      <c r="I8" s="1">
        <v>2306.3461538461502</v>
      </c>
      <c r="J8" s="1"/>
      <c r="K8" s="1"/>
      <c r="M8" s="13"/>
      <c r="N8" s="13"/>
      <c r="O8" s="15"/>
      <c r="P8" s="15"/>
      <c r="Q8" s="15"/>
      <c r="R8" s="15"/>
    </row>
    <row r="9" spans="1:18">
      <c r="A9" s="2">
        <v>7</v>
      </c>
      <c r="B9" s="1">
        <v>30</v>
      </c>
      <c r="C9" s="1">
        <v>1487.7666666666701</v>
      </c>
      <c r="D9" s="1"/>
      <c r="E9" s="1"/>
      <c r="F9" s="2"/>
      <c r="G9" s="2"/>
      <c r="H9" s="1">
        <v>27</v>
      </c>
      <c r="I9" s="1">
        <v>2628.9629629629599</v>
      </c>
      <c r="J9" s="1"/>
      <c r="K9" s="1"/>
      <c r="M9" s="13"/>
      <c r="N9" s="13"/>
      <c r="O9" s="15"/>
      <c r="P9" s="15"/>
      <c r="Q9" s="15"/>
      <c r="R9" s="15"/>
    </row>
    <row r="10" spans="1:18">
      <c r="A10" s="2">
        <v>8</v>
      </c>
      <c r="B10" s="1">
        <v>45</v>
      </c>
      <c r="C10" s="1">
        <v>1538.68888888889</v>
      </c>
      <c r="D10" s="1"/>
      <c r="E10" s="1"/>
      <c r="F10" s="2"/>
      <c r="G10" s="2"/>
      <c r="H10" s="1">
        <v>22</v>
      </c>
      <c r="I10" s="1">
        <v>1811.3181818181799</v>
      </c>
      <c r="J10" s="1"/>
      <c r="K10" s="1"/>
      <c r="M10" s="13"/>
      <c r="N10" s="13"/>
      <c r="O10" s="15"/>
      <c r="P10" s="15"/>
      <c r="Q10" s="15"/>
      <c r="R10" s="15"/>
    </row>
    <row r="11" spans="1:18">
      <c r="A11" s="2">
        <v>9</v>
      </c>
      <c r="B11" s="1">
        <v>30</v>
      </c>
      <c r="C11" s="1">
        <v>2053.1</v>
      </c>
      <c r="D11" s="1"/>
      <c r="E11" s="1"/>
      <c r="F11" s="2"/>
      <c r="G11" s="2"/>
      <c r="H11" s="1">
        <v>21</v>
      </c>
      <c r="I11" s="1">
        <v>2686.4761904761899</v>
      </c>
      <c r="J11" s="1"/>
      <c r="K11" s="1"/>
      <c r="M11" s="13"/>
      <c r="N11" s="13"/>
      <c r="O11" s="15"/>
      <c r="P11" s="15"/>
      <c r="Q11" s="15"/>
      <c r="R11" s="15"/>
    </row>
    <row r="12" spans="1:18">
      <c r="A12" s="2">
        <v>10</v>
      </c>
      <c r="B12" s="1">
        <v>37</v>
      </c>
      <c r="C12" s="1">
        <v>2251.9459459459499</v>
      </c>
      <c r="D12" s="1"/>
      <c r="E12" s="1"/>
      <c r="F12" s="2"/>
      <c r="G12" s="2"/>
      <c r="H12" s="1">
        <v>24</v>
      </c>
      <c r="I12" s="1">
        <v>2725.8333333333298</v>
      </c>
      <c r="J12" s="1"/>
      <c r="K12" s="1"/>
      <c r="M12" s="13"/>
      <c r="N12" s="13"/>
      <c r="O12" s="15"/>
      <c r="P12" s="15"/>
      <c r="Q12" s="15"/>
      <c r="R12" s="15"/>
    </row>
    <row r="13" spans="1:18">
      <c r="C13" s="2" t="s">
        <v>4</v>
      </c>
      <c r="D13" s="6"/>
      <c r="E13" s="2" t="s">
        <v>0</v>
      </c>
      <c r="F13" s="2"/>
      <c r="G13" s="2"/>
      <c r="H13" s="2"/>
      <c r="I13" s="2" t="s">
        <v>4</v>
      </c>
      <c r="J13" s="6"/>
      <c r="K13" t="s">
        <v>0</v>
      </c>
    </row>
    <row r="14" spans="1:18">
      <c r="C14" s="29">
        <f>SUM(C3:C12)/10</f>
        <v>2052.5333332251048</v>
      </c>
      <c r="D14" s="30"/>
      <c r="E14" s="29">
        <f>STDEV(C3:C12)</f>
        <v>518.70482684940089</v>
      </c>
      <c r="F14" s="29"/>
      <c r="G14" s="29"/>
      <c r="H14" s="29"/>
      <c r="I14" s="29">
        <f>SUM(I3:I12)/10</f>
        <v>2615.6693410052098</v>
      </c>
      <c r="J14" s="30"/>
      <c r="K14" s="28">
        <f>STDEV(I3:I12)</f>
        <v>541.32495005754174</v>
      </c>
    </row>
  </sheetData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4"/>
  <sheetViews>
    <sheetView zoomScale="10" zoomScaleNormal="10" workbookViewId="0">
      <selection activeCell="H2" sqref="H2"/>
    </sheetView>
  </sheetViews>
  <sheetFormatPr defaultColWidth="14.5" defaultRowHeight="15" customHeight="1"/>
  <cols>
    <col min="12" max="12" width="14.5" style="16"/>
    <col min="13" max="13" width="18.5" style="16" customWidth="1"/>
    <col min="14" max="14" width="20.375" style="16" customWidth="1"/>
    <col min="15" max="15" width="19.5" style="16" customWidth="1"/>
    <col min="16" max="16" width="18.5" style="16" customWidth="1"/>
    <col min="17" max="22" width="14.5" style="16"/>
  </cols>
  <sheetData>
    <row r="1" spans="1:18">
      <c r="B1" s="2"/>
      <c r="C1" s="5" t="s">
        <v>2</v>
      </c>
      <c r="D1" s="2"/>
      <c r="E1" s="2"/>
      <c r="F1" s="2"/>
      <c r="G1" s="2"/>
      <c r="H1" s="2"/>
      <c r="I1" s="5" t="s">
        <v>3</v>
      </c>
      <c r="J1" s="2"/>
      <c r="K1" s="2"/>
    </row>
    <row r="2" spans="1:18">
      <c r="A2" s="5" t="s">
        <v>6</v>
      </c>
      <c r="B2" s="5" t="s">
        <v>7</v>
      </c>
      <c r="C2" s="5" t="s">
        <v>1</v>
      </c>
      <c r="D2" s="5"/>
      <c r="E2" s="5" t="s">
        <v>0</v>
      </c>
      <c r="F2" s="5"/>
      <c r="G2" s="5"/>
      <c r="H2" s="5" t="s">
        <v>7</v>
      </c>
      <c r="I2" s="5" t="s">
        <v>1</v>
      </c>
      <c r="J2" s="5"/>
      <c r="K2" s="5" t="s">
        <v>0</v>
      </c>
      <c r="L2" s="17"/>
      <c r="M2" s="18"/>
      <c r="N2" s="18"/>
      <c r="O2" s="18"/>
      <c r="P2" s="18"/>
      <c r="Q2" s="18"/>
      <c r="R2" s="18"/>
    </row>
    <row r="3" spans="1:18">
      <c r="A3" s="2">
        <v>1</v>
      </c>
      <c r="B3" s="1">
        <v>8</v>
      </c>
      <c r="C3" s="1">
        <v>2109.125</v>
      </c>
      <c r="D3" s="1"/>
      <c r="E3" s="1"/>
      <c r="F3" s="2"/>
      <c r="G3" s="2"/>
      <c r="H3" s="1">
        <v>15</v>
      </c>
      <c r="I3" s="1">
        <v>3220.86666666667</v>
      </c>
      <c r="J3" s="1"/>
      <c r="K3" s="1"/>
      <c r="M3" s="19"/>
      <c r="N3" s="19"/>
      <c r="O3" s="20"/>
      <c r="P3" s="20"/>
      <c r="Q3" s="20"/>
      <c r="R3" s="20"/>
    </row>
    <row r="4" spans="1:18">
      <c r="A4" s="2">
        <v>2</v>
      </c>
      <c r="B4" s="1">
        <v>12</v>
      </c>
      <c r="C4" s="1">
        <v>1019.16666666667</v>
      </c>
      <c r="D4" s="1"/>
      <c r="E4" s="1"/>
      <c r="F4" s="2"/>
      <c r="G4" s="2"/>
      <c r="H4" s="1">
        <v>18</v>
      </c>
      <c r="I4" s="1">
        <v>2159.6111111111099</v>
      </c>
      <c r="J4" s="1"/>
      <c r="K4" s="1"/>
      <c r="M4" s="19"/>
      <c r="N4" s="19"/>
      <c r="O4" s="20"/>
      <c r="P4" s="20"/>
      <c r="Q4" s="20"/>
      <c r="R4" s="20"/>
    </row>
    <row r="5" spans="1:18">
      <c r="A5" s="2">
        <v>3</v>
      </c>
      <c r="B5" s="1">
        <v>8</v>
      </c>
      <c r="C5" s="1">
        <v>1295</v>
      </c>
      <c r="D5" s="1"/>
      <c r="E5" s="1"/>
      <c r="F5" s="2"/>
      <c r="G5" s="2"/>
      <c r="H5" s="1">
        <v>12</v>
      </c>
      <c r="I5" s="1">
        <v>3971.5833333333298</v>
      </c>
      <c r="J5" s="1"/>
      <c r="K5" s="1"/>
      <c r="M5" s="19"/>
      <c r="N5" s="19"/>
      <c r="O5" s="20"/>
      <c r="P5" s="20"/>
      <c r="Q5" s="20"/>
      <c r="R5" s="20"/>
    </row>
    <row r="6" spans="1:18">
      <c r="A6" s="2">
        <v>4</v>
      </c>
      <c r="B6" s="1">
        <v>10</v>
      </c>
      <c r="C6" s="1">
        <v>2281.8000000000002</v>
      </c>
      <c r="D6" s="1"/>
      <c r="E6" s="1"/>
      <c r="F6" s="2"/>
      <c r="G6" s="2"/>
      <c r="H6" s="1">
        <v>18</v>
      </c>
      <c r="I6" s="1">
        <v>1192.44444444444</v>
      </c>
      <c r="J6" s="1"/>
      <c r="K6" s="1"/>
      <c r="M6" s="19"/>
      <c r="N6" s="19"/>
      <c r="O6" s="20"/>
      <c r="P6" s="20"/>
      <c r="Q6" s="20"/>
      <c r="R6" s="20"/>
    </row>
    <row r="7" spans="1:18">
      <c r="A7" s="2">
        <v>5</v>
      </c>
      <c r="B7" s="1">
        <v>7</v>
      </c>
      <c r="C7" s="1">
        <v>715</v>
      </c>
      <c r="D7" s="1"/>
      <c r="E7" s="1"/>
      <c r="F7" s="2"/>
      <c r="G7" s="2"/>
      <c r="H7" s="1">
        <v>16</v>
      </c>
      <c r="I7" s="1">
        <v>2223.1875</v>
      </c>
      <c r="J7" s="1"/>
      <c r="K7" s="1"/>
      <c r="M7" s="19"/>
      <c r="N7" s="19"/>
      <c r="O7" s="20"/>
      <c r="P7" s="20"/>
      <c r="Q7" s="20"/>
      <c r="R7" s="20"/>
    </row>
    <row r="8" spans="1:18">
      <c r="A8" s="2">
        <v>6</v>
      </c>
      <c r="B8" s="1">
        <v>12</v>
      </c>
      <c r="C8" s="1">
        <v>2793.1666666666702</v>
      </c>
      <c r="D8" s="1"/>
      <c r="E8" s="1"/>
      <c r="F8" s="2"/>
      <c r="G8" s="2"/>
      <c r="H8" s="1">
        <v>18</v>
      </c>
      <c r="I8" s="1">
        <v>1773.6666666666699</v>
      </c>
      <c r="J8" s="1"/>
      <c r="K8" s="1"/>
      <c r="M8" s="19"/>
      <c r="N8" s="19"/>
      <c r="O8" s="20"/>
      <c r="P8" s="20"/>
      <c r="Q8" s="20"/>
      <c r="R8" s="20"/>
    </row>
    <row r="9" spans="1:18">
      <c r="A9" s="2">
        <v>7</v>
      </c>
      <c r="B9" s="1">
        <v>6</v>
      </c>
      <c r="C9" s="1">
        <v>1462.8333333333301</v>
      </c>
      <c r="D9" s="1"/>
      <c r="E9" s="1"/>
      <c r="F9" s="2"/>
      <c r="G9" s="2"/>
      <c r="H9" s="1">
        <v>8</v>
      </c>
      <c r="I9" s="1">
        <v>1360.125</v>
      </c>
      <c r="J9" s="1"/>
      <c r="K9" s="1"/>
      <c r="M9" s="19"/>
      <c r="N9" s="19"/>
      <c r="O9" s="20"/>
      <c r="P9" s="20"/>
      <c r="Q9" s="20"/>
      <c r="R9" s="20"/>
    </row>
    <row r="10" spans="1:18">
      <c r="A10" s="2">
        <v>8</v>
      </c>
      <c r="B10" s="1">
        <v>13</v>
      </c>
      <c r="C10" s="1">
        <v>1518</v>
      </c>
      <c r="D10" s="1"/>
      <c r="E10" s="1"/>
      <c r="F10" s="2"/>
      <c r="G10" s="2"/>
      <c r="H10" s="1">
        <v>20</v>
      </c>
      <c r="I10" s="1">
        <v>5305.5</v>
      </c>
      <c r="J10" s="1"/>
      <c r="K10" s="1"/>
      <c r="M10" s="19"/>
      <c r="N10" s="19"/>
      <c r="O10" s="20"/>
      <c r="P10" s="20"/>
      <c r="Q10" s="20"/>
      <c r="R10" s="20"/>
    </row>
    <row r="11" spans="1:18">
      <c r="A11" s="2">
        <v>9</v>
      </c>
      <c r="B11" s="1">
        <v>13</v>
      </c>
      <c r="C11" s="1">
        <v>1662.9230769230801</v>
      </c>
      <c r="D11" s="1"/>
      <c r="E11" s="1"/>
      <c r="F11" s="2"/>
      <c r="G11" s="2"/>
      <c r="H11" s="1">
        <v>13</v>
      </c>
      <c r="I11" s="1">
        <v>1725.9230769230801</v>
      </c>
      <c r="J11" s="1"/>
      <c r="K11" s="1"/>
      <c r="M11" s="19"/>
      <c r="N11" s="19"/>
      <c r="O11" s="20"/>
      <c r="P11" s="20"/>
      <c r="Q11" s="20"/>
      <c r="R11" s="20"/>
    </row>
    <row r="12" spans="1:18">
      <c r="A12" s="2">
        <v>10</v>
      </c>
      <c r="B12" s="1">
        <v>14</v>
      </c>
      <c r="C12" s="1">
        <v>3044.9285714285702</v>
      </c>
      <c r="D12" s="1"/>
      <c r="E12" s="1"/>
      <c r="F12" s="2"/>
      <c r="G12" s="2"/>
      <c r="H12" s="1">
        <v>15</v>
      </c>
      <c r="I12" s="1">
        <v>4109.5333333333301</v>
      </c>
      <c r="J12" s="1"/>
      <c r="K12" s="1"/>
      <c r="M12" s="19"/>
      <c r="N12" s="19"/>
      <c r="O12" s="20"/>
      <c r="P12" s="20"/>
      <c r="Q12" s="20"/>
      <c r="R12" s="20"/>
    </row>
    <row r="13" spans="1:18">
      <c r="C13" s="2" t="s">
        <v>4</v>
      </c>
      <c r="D13" s="6"/>
      <c r="E13" s="2" t="s">
        <v>0</v>
      </c>
      <c r="F13" s="2"/>
      <c r="G13" s="2"/>
      <c r="H13" s="2"/>
      <c r="I13" s="2" t="s">
        <v>4</v>
      </c>
      <c r="J13" s="6"/>
      <c r="K13" t="s">
        <v>0</v>
      </c>
    </row>
    <row r="14" spans="1:18">
      <c r="C14" s="29">
        <f>SUM(C3:C12)/10</f>
        <v>1790.194331501832</v>
      </c>
      <c r="D14" s="30"/>
      <c r="E14" s="29">
        <f>STDEV(C3:C12)</f>
        <v>754.01895853050132</v>
      </c>
      <c r="F14" s="29"/>
      <c r="G14" s="29"/>
      <c r="H14" s="29"/>
      <c r="I14" s="29">
        <f>SUM(I3:I12)/10</f>
        <v>2704.244113247863</v>
      </c>
      <c r="J14" s="30"/>
      <c r="K14" s="28">
        <f>STDEV(I3:I12)</f>
        <v>1376.700523291443</v>
      </c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4"/>
  <sheetViews>
    <sheetView zoomScale="10" zoomScaleNormal="10" workbookViewId="0">
      <selection activeCell="H2" sqref="H2"/>
    </sheetView>
  </sheetViews>
  <sheetFormatPr defaultColWidth="14.5" defaultRowHeight="15" customHeight="1"/>
  <cols>
    <col min="2" max="2" width="17.625" customWidth="1"/>
    <col min="12" max="12" width="14.5" style="16"/>
    <col min="13" max="13" width="18.5" style="16" customWidth="1"/>
    <col min="14" max="14" width="19.125" style="16" customWidth="1"/>
    <col min="15" max="20" width="14.5" style="16"/>
  </cols>
  <sheetData>
    <row r="1" spans="1:18">
      <c r="B1" s="2"/>
      <c r="C1" s="5" t="s">
        <v>2</v>
      </c>
      <c r="D1" s="2"/>
      <c r="E1" s="2"/>
      <c r="F1" s="2"/>
      <c r="G1" s="2"/>
      <c r="H1" s="2"/>
      <c r="I1" s="5" t="s">
        <v>3</v>
      </c>
      <c r="J1" s="2"/>
      <c r="K1" s="2"/>
    </row>
    <row r="2" spans="1:18">
      <c r="A2" s="5" t="s">
        <v>6</v>
      </c>
      <c r="B2" s="5" t="s">
        <v>7</v>
      </c>
      <c r="C2" s="5" t="s">
        <v>1</v>
      </c>
      <c r="D2" s="5"/>
      <c r="E2" s="5" t="s">
        <v>0</v>
      </c>
      <c r="F2" s="5"/>
      <c r="G2" s="5"/>
      <c r="H2" s="5" t="s">
        <v>7</v>
      </c>
      <c r="I2" s="5" t="s">
        <v>1</v>
      </c>
      <c r="J2" s="5"/>
      <c r="K2" s="5" t="s">
        <v>0</v>
      </c>
      <c r="L2" s="17"/>
      <c r="M2" s="18"/>
      <c r="N2" s="18"/>
      <c r="O2" s="18"/>
      <c r="P2" s="18"/>
      <c r="Q2" s="18"/>
      <c r="R2" s="18"/>
    </row>
    <row r="3" spans="1:18">
      <c r="A3" s="2">
        <v>1</v>
      </c>
      <c r="B3" s="1">
        <v>25</v>
      </c>
      <c r="C3" s="1">
        <v>7012.48</v>
      </c>
      <c r="D3" s="1"/>
      <c r="E3" s="1"/>
      <c r="H3" s="1">
        <v>43</v>
      </c>
      <c r="I3" s="1">
        <v>6975.3255813953501</v>
      </c>
      <c r="J3" s="1"/>
      <c r="K3" s="1"/>
      <c r="M3" s="20"/>
      <c r="N3" s="19"/>
      <c r="O3" s="20"/>
      <c r="P3" s="20"/>
      <c r="Q3" s="20"/>
      <c r="R3" s="20"/>
    </row>
    <row r="4" spans="1:18">
      <c r="A4" s="2">
        <v>2</v>
      </c>
      <c r="B4" s="1">
        <v>29</v>
      </c>
      <c r="C4" s="1">
        <v>7441.06896551724</v>
      </c>
      <c r="D4" s="1"/>
      <c r="E4" s="1"/>
      <c r="H4" s="1">
        <v>40</v>
      </c>
      <c r="I4" s="1">
        <v>7486.65</v>
      </c>
      <c r="J4" s="1"/>
      <c r="K4" s="1"/>
      <c r="M4" s="19"/>
      <c r="N4" s="19"/>
      <c r="O4" s="20"/>
      <c r="P4" s="20"/>
      <c r="Q4" s="20"/>
      <c r="R4" s="20"/>
    </row>
    <row r="5" spans="1:18">
      <c r="A5" s="2">
        <v>3</v>
      </c>
      <c r="B5" s="1">
        <v>41</v>
      </c>
      <c r="C5" s="1">
        <v>6818.1219512195103</v>
      </c>
      <c r="D5" s="1"/>
      <c r="E5" s="1"/>
      <c r="H5" s="1">
        <v>47</v>
      </c>
      <c r="I5" s="1">
        <v>7202.5744680851103</v>
      </c>
      <c r="J5" s="1"/>
      <c r="K5" s="1"/>
      <c r="M5" s="19"/>
      <c r="N5" s="19"/>
      <c r="O5" s="20"/>
      <c r="P5" s="20"/>
      <c r="Q5" s="20"/>
      <c r="R5" s="20"/>
    </row>
    <row r="6" spans="1:18">
      <c r="A6" s="2">
        <v>4</v>
      </c>
      <c r="B6" s="1">
        <v>48</v>
      </c>
      <c r="C6" s="1">
        <v>7304.4583333333303</v>
      </c>
      <c r="D6" s="1"/>
      <c r="E6" s="1"/>
      <c r="H6" s="1">
        <v>47</v>
      </c>
      <c r="I6" s="1">
        <v>7810.6595744680899</v>
      </c>
      <c r="J6" s="1"/>
      <c r="K6" s="1"/>
      <c r="M6" s="19"/>
      <c r="N6" s="19"/>
      <c r="O6" s="20"/>
      <c r="P6" s="20"/>
      <c r="Q6" s="20"/>
      <c r="R6" s="20"/>
    </row>
    <row r="7" spans="1:18">
      <c r="A7" s="2">
        <v>5</v>
      </c>
      <c r="B7" s="1">
        <v>32</v>
      </c>
      <c r="C7" s="1">
        <v>7079.625</v>
      </c>
      <c r="D7" s="1"/>
      <c r="E7" s="1"/>
      <c r="H7" s="1">
        <v>47</v>
      </c>
      <c r="I7" s="1">
        <v>7394.7659574468098</v>
      </c>
      <c r="J7" s="1"/>
      <c r="K7" s="1"/>
      <c r="M7" s="19"/>
      <c r="N7" s="19"/>
      <c r="O7" s="20"/>
      <c r="P7" s="20"/>
      <c r="Q7" s="20"/>
      <c r="R7" s="20"/>
    </row>
    <row r="8" spans="1:18">
      <c r="A8" s="2">
        <v>6</v>
      </c>
      <c r="B8" s="1">
        <v>43</v>
      </c>
      <c r="C8" s="1">
        <v>8205.3720930232594</v>
      </c>
      <c r="D8" s="1"/>
      <c r="E8" s="1"/>
      <c r="H8" s="1">
        <v>43</v>
      </c>
      <c r="I8" s="1">
        <v>7665.27906976744</v>
      </c>
      <c r="J8" s="1"/>
      <c r="K8" s="1"/>
      <c r="M8" s="19"/>
      <c r="N8" s="19"/>
      <c r="O8" s="20"/>
      <c r="P8" s="20"/>
      <c r="Q8" s="20"/>
      <c r="R8" s="20"/>
    </row>
    <row r="9" spans="1:18">
      <c r="A9" s="2">
        <v>7</v>
      </c>
      <c r="B9" s="1">
        <v>37</v>
      </c>
      <c r="C9" s="1">
        <v>7197.9459459459504</v>
      </c>
      <c r="D9" s="1"/>
      <c r="E9" s="1"/>
      <c r="H9" s="1">
        <v>51</v>
      </c>
      <c r="I9" s="1">
        <v>7122.6078431372598</v>
      </c>
      <c r="J9" s="1"/>
      <c r="K9" s="1"/>
      <c r="M9" s="19"/>
      <c r="N9" s="19"/>
      <c r="O9" s="20"/>
      <c r="P9" s="20"/>
      <c r="Q9" s="20"/>
      <c r="R9" s="20"/>
    </row>
    <row r="10" spans="1:18">
      <c r="A10" s="2">
        <v>8</v>
      </c>
      <c r="B10" s="1">
        <v>45</v>
      </c>
      <c r="C10" s="1">
        <v>6554.2222222222199</v>
      </c>
      <c r="D10" s="1"/>
      <c r="E10" s="1"/>
      <c r="H10" s="1">
        <v>50</v>
      </c>
      <c r="I10" s="1">
        <v>6821.24</v>
      </c>
      <c r="J10" s="1"/>
      <c r="K10" s="1"/>
      <c r="M10" s="19"/>
      <c r="N10" s="19"/>
      <c r="O10" s="20"/>
      <c r="P10" s="20"/>
      <c r="Q10" s="20"/>
      <c r="R10" s="20"/>
    </row>
    <row r="11" spans="1:18">
      <c r="A11" s="2">
        <v>9</v>
      </c>
      <c r="B11" s="1">
        <v>43</v>
      </c>
      <c r="C11" s="1">
        <v>6632.8372093023299</v>
      </c>
      <c r="D11" s="1"/>
      <c r="E11" s="1"/>
      <c r="H11" s="1">
        <v>43</v>
      </c>
      <c r="I11" s="1">
        <v>6641.5116279069798</v>
      </c>
      <c r="J11" s="1"/>
      <c r="K11" s="1"/>
      <c r="M11" s="19"/>
      <c r="N11" s="19"/>
      <c r="O11" s="20"/>
      <c r="P11" s="20"/>
      <c r="Q11" s="20"/>
      <c r="R11" s="20"/>
    </row>
    <row r="12" spans="1:18">
      <c r="A12" s="2">
        <v>10</v>
      </c>
      <c r="B12" s="1">
        <v>44</v>
      </c>
      <c r="C12" s="1">
        <v>6740.7045454545496</v>
      </c>
      <c r="D12" s="1"/>
      <c r="E12" s="1"/>
      <c r="H12" s="3">
        <v>46</v>
      </c>
      <c r="I12" s="1">
        <v>7141.8043478260897</v>
      </c>
      <c r="J12" s="1"/>
      <c r="K12" s="1"/>
      <c r="M12" s="19"/>
      <c r="N12" s="19"/>
      <c r="O12" s="20"/>
      <c r="P12" s="20"/>
      <c r="Q12" s="20"/>
      <c r="R12" s="20"/>
    </row>
    <row r="13" spans="1:18">
      <c r="C13" s="2" t="s">
        <v>4</v>
      </c>
      <c r="D13" s="7"/>
      <c r="E13" s="2" t="s">
        <v>0</v>
      </c>
      <c r="F13" s="2"/>
      <c r="G13" s="2"/>
      <c r="H13" s="2"/>
      <c r="I13" s="2" t="s">
        <v>5</v>
      </c>
      <c r="J13" s="7"/>
      <c r="K13" t="s">
        <v>0</v>
      </c>
    </row>
    <row r="14" spans="1:18">
      <c r="C14" s="29">
        <f>SUM(C3:C12)/10</f>
        <v>7098.683626601839</v>
      </c>
      <c r="D14" s="31"/>
      <c r="E14" s="29">
        <f>STDEV(C3:C12)</f>
        <v>485.60301551277263</v>
      </c>
      <c r="F14" s="29"/>
      <c r="G14" s="29"/>
      <c r="H14" s="29"/>
      <c r="I14" s="29">
        <f>SUM(I3:I12)/10</f>
        <v>7226.2418470033126</v>
      </c>
      <c r="J14" s="31"/>
      <c r="K14" s="28">
        <f>STDEV(I3:I12)</f>
        <v>367.85191547869528</v>
      </c>
    </row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79"/>
  <sheetViews>
    <sheetView zoomScale="25" zoomScaleNormal="25" workbookViewId="0">
      <selection activeCell="H2" sqref="H2"/>
    </sheetView>
  </sheetViews>
  <sheetFormatPr defaultColWidth="14.5" defaultRowHeight="15" customHeight="1"/>
  <cols>
    <col min="1" max="1" width="8.625" customWidth="1"/>
    <col min="2" max="2" width="23.625" customWidth="1"/>
    <col min="3" max="3" width="19.625" customWidth="1"/>
    <col min="4" max="4" width="8.625" customWidth="1"/>
    <col min="5" max="5" width="13.5" customWidth="1"/>
    <col min="6" max="7" width="8.625" customWidth="1"/>
    <col min="8" max="8" width="17.375" customWidth="1"/>
    <col min="9" max="9" width="18.625" customWidth="1"/>
    <col min="10" max="10" width="8.625" customWidth="1"/>
    <col min="11" max="11" width="14.625" customWidth="1"/>
    <col min="12" max="12" width="8.625" style="16" customWidth="1"/>
    <col min="13" max="13" width="21.375" style="16" customWidth="1"/>
    <col min="14" max="14" width="19.5" style="16" customWidth="1"/>
    <col min="15" max="15" width="21.875" style="16" customWidth="1"/>
    <col min="16" max="16" width="22.625" style="16" customWidth="1"/>
    <col min="17" max="17" width="24.5" style="16" customWidth="1"/>
    <col min="18" max="18" width="21.5" style="16" customWidth="1"/>
    <col min="19" max="19" width="21" style="16" customWidth="1"/>
    <col min="20" max="20" width="12.5" style="16" customWidth="1"/>
    <col min="21" max="30" width="8.625" style="16" customWidth="1"/>
    <col min="31" max="32" width="14.5" style="16"/>
  </cols>
  <sheetData>
    <row r="1" spans="1:28" ht="14.25" customHeight="1">
      <c r="B1" s="2"/>
      <c r="C1" s="5" t="s">
        <v>2</v>
      </c>
      <c r="D1" s="4"/>
      <c r="E1" s="4"/>
      <c r="F1" s="4"/>
      <c r="G1" s="4"/>
      <c r="H1" s="4"/>
      <c r="I1" s="5" t="s">
        <v>3</v>
      </c>
      <c r="J1" s="2"/>
      <c r="K1" s="2"/>
      <c r="O1" s="21"/>
    </row>
    <row r="2" spans="1:28" ht="14.25" customHeight="1">
      <c r="A2" s="5" t="s">
        <v>6</v>
      </c>
      <c r="B2" s="5" t="s">
        <v>7</v>
      </c>
      <c r="C2" s="5" t="s">
        <v>1</v>
      </c>
      <c r="D2" s="5"/>
      <c r="E2" s="5" t="s">
        <v>0</v>
      </c>
      <c r="F2" s="5"/>
      <c r="G2" s="5"/>
      <c r="H2" s="5" t="s">
        <v>7</v>
      </c>
      <c r="I2" s="5" t="s">
        <v>1</v>
      </c>
      <c r="J2" s="5"/>
      <c r="K2" s="5" t="s">
        <v>0</v>
      </c>
      <c r="L2" s="17"/>
      <c r="M2" s="18"/>
      <c r="N2" s="18"/>
      <c r="O2" s="18"/>
      <c r="P2" s="18"/>
      <c r="Q2" s="18"/>
      <c r="S2" s="18"/>
      <c r="T2" s="18"/>
      <c r="U2" s="18"/>
      <c r="V2" s="18"/>
      <c r="W2" s="20"/>
      <c r="X2" s="20"/>
    </row>
    <row r="3" spans="1:28" ht="14.25" customHeight="1">
      <c r="A3" s="2">
        <v>11</v>
      </c>
      <c r="B3" s="1">
        <v>70</v>
      </c>
      <c r="C3" s="1">
        <v>1221.44285714286</v>
      </c>
      <c r="D3" s="1"/>
      <c r="E3" s="1"/>
      <c r="F3" s="2"/>
      <c r="G3" s="2"/>
      <c r="H3" s="1">
        <v>35</v>
      </c>
      <c r="I3" s="1">
        <v>1580.4</v>
      </c>
      <c r="J3" s="1"/>
      <c r="K3" s="1"/>
      <c r="N3" s="20"/>
      <c r="S3" s="23"/>
      <c r="T3" s="23"/>
      <c r="U3" s="23"/>
      <c r="V3" s="23"/>
      <c r="W3" s="20"/>
      <c r="X3" s="25"/>
      <c r="Y3" s="24"/>
      <c r="Z3" s="24"/>
      <c r="AB3" s="24"/>
    </row>
    <row r="4" spans="1:28" ht="14.25" customHeight="1">
      <c r="A4" s="2">
        <v>12</v>
      </c>
      <c r="B4" s="1">
        <v>64</v>
      </c>
      <c r="C4" s="1">
        <v>1143.65625</v>
      </c>
      <c r="D4" s="1"/>
      <c r="E4" s="1"/>
      <c r="F4" s="2"/>
      <c r="G4" s="2"/>
      <c r="H4" s="1">
        <v>38</v>
      </c>
      <c r="I4" s="1">
        <v>1566.94736842105</v>
      </c>
      <c r="J4" s="1"/>
      <c r="K4" s="1"/>
      <c r="N4" s="20"/>
      <c r="S4" s="23"/>
      <c r="T4" s="23"/>
      <c r="U4" s="23"/>
      <c r="V4" s="23"/>
      <c r="W4" s="20"/>
      <c r="X4" s="25"/>
      <c r="Y4" s="24"/>
      <c r="Z4" s="24"/>
      <c r="AB4" s="24"/>
    </row>
    <row r="5" spans="1:28" ht="14.25" customHeight="1">
      <c r="A5" s="2">
        <v>13</v>
      </c>
      <c r="B5" s="1">
        <v>66</v>
      </c>
      <c r="C5" s="1">
        <v>1214.4393939393899</v>
      </c>
      <c r="D5" s="1"/>
      <c r="E5" s="1"/>
      <c r="F5" s="2"/>
      <c r="G5" s="2"/>
      <c r="H5" s="1">
        <v>32</v>
      </c>
      <c r="I5" s="1">
        <v>1502.34375</v>
      </c>
      <c r="J5" s="1"/>
      <c r="K5" s="1"/>
      <c r="N5" s="20"/>
      <c r="S5" s="23"/>
      <c r="T5" s="23"/>
      <c r="U5" s="23"/>
      <c r="V5" s="23"/>
      <c r="W5" s="20"/>
      <c r="X5" s="25"/>
      <c r="Y5" s="24"/>
      <c r="Z5" s="24"/>
      <c r="AB5" s="24"/>
    </row>
    <row r="6" spans="1:28" ht="14.25" customHeight="1">
      <c r="A6" s="2">
        <v>14</v>
      </c>
      <c r="B6" s="1">
        <v>58</v>
      </c>
      <c r="C6" s="1">
        <v>2190.6379310344801</v>
      </c>
      <c r="D6" s="1"/>
      <c r="E6" s="1"/>
      <c r="F6" s="2"/>
      <c r="G6" s="2"/>
      <c r="H6" s="1">
        <v>35</v>
      </c>
      <c r="I6" s="1">
        <v>2420.8571428571399</v>
      </c>
      <c r="J6" s="1"/>
      <c r="K6" s="1"/>
      <c r="N6" s="20"/>
      <c r="S6" s="23"/>
      <c r="T6" s="23"/>
      <c r="U6" s="23"/>
      <c r="V6" s="23"/>
      <c r="W6" s="20"/>
      <c r="X6" s="25"/>
      <c r="Y6" s="24"/>
      <c r="Z6" s="24"/>
      <c r="AB6" s="24"/>
    </row>
    <row r="7" spans="1:28" ht="14.25" customHeight="1">
      <c r="A7" s="2">
        <v>15</v>
      </c>
      <c r="B7" s="1">
        <v>62</v>
      </c>
      <c r="C7" s="1">
        <v>1131.6451612903199</v>
      </c>
      <c r="D7" s="1"/>
      <c r="E7" s="1"/>
      <c r="F7" s="2"/>
      <c r="G7" s="2"/>
      <c r="H7" s="1">
        <v>40</v>
      </c>
      <c r="I7" s="1">
        <v>1604.175</v>
      </c>
      <c r="J7" s="1"/>
      <c r="K7" s="1"/>
      <c r="N7" s="20"/>
      <c r="S7" s="23"/>
      <c r="T7" s="23"/>
      <c r="U7" s="23"/>
      <c r="V7" s="23"/>
      <c r="W7" s="20"/>
      <c r="X7" s="25"/>
      <c r="Y7" s="24"/>
      <c r="Z7" s="24"/>
      <c r="AB7" s="24"/>
    </row>
    <row r="8" spans="1:28" ht="14.25" customHeight="1">
      <c r="A8" s="2">
        <v>16</v>
      </c>
      <c r="B8" s="1">
        <v>57</v>
      </c>
      <c r="C8" s="1">
        <v>1104.6315789473699</v>
      </c>
      <c r="D8" s="1"/>
      <c r="E8" s="1"/>
      <c r="F8" s="2"/>
      <c r="G8" s="2"/>
      <c r="H8" s="1">
        <v>41</v>
      </c>
      <c r="I8" s="1">
        <v>1771.0487804878001</v>
      </c>
      <c r="J8" s="1"/>
      <c r="K8" s="1"/>
      <c r="N8" s="20"/>
      <c r="S8" s="23"/>
      <c r="T8" s="23"/>
      <c r="U8" s="23"/>
      <c r="V8" s="23"/>
      <c r="W8" s="20"/>
      <c r="X8" s="25"/>
      <c r="Y8" s="24"/>
      <c r="Z8" s="24"/>
      <c r="AB8" s="24"/>
    </row>
    <row r="9" spans="1:28" ht="14.25" customHeight="1">
      <c r="A9" s="2">
        <v>17</v>
      </c>
      <c r="B9" s="1">
        <v>49</v>
      </c>
      <c r="C9" s="1">
        <v>1596.51020408163</v>
      </c>
      <c r="D9" s="1"/>
      <c r="E9" s="1"/>
      <c r="F9" s="2"/>
      <c r="G9" s="2"/>
      <c r="H9" s="1">
        <v>25</v>
      </c>
      <c r="I9" s="1">
        <v>2282.2399999999998</v>
      </c>
      <c r="J9" s="1"/>
      <c r="K9" s="1"/>
      <c r="M9" s="22"/>
      <c r="N9" s="20"/>
      <c r="S9" s="23"/>
      <c r="T9" s="23"/>
      <c r="U9" s="23"/>
      <c r="V9" s="23"/>
      <c r="W9" s="20"/>
      <c r="X9" s="25"/>
      <c r="Y9" s="24"/>
      <c r="Z9" s="24"/>
      <c r="AB9" s="24"/>
    </row>
    <row r="10" spans="1:28" ht="14.25" customHeight="1">
      <c r="A10" s="2">
        <v>18</v>
      </c>
      <c r="B10" s="1">
        <v>63</v>
      </c>
      <c r="C10" s="1">
        <v>1028.4761904761899</v>
      </c>
      <c r="D10" s="1"/>
      <c r="E10" s="1"/>
      <c r="F10" s="2"/>
      <c r="G10" s="2"/>
      <c r="H10" s="1">
        <v>38</v>
      </c>
      <c r="I10" s="1">
        <v>1660.5</v>
      </c>
      <c r="J10" s="1"/>
      <c r="K10" s="1"/>
      <c r="N10" s="20"/>
      <c r="S10" s="23"/>
      <c r="T10" s="23"/>
      <c r="U10" s="23"/>
      <c r="V10" s="23"/>
      <c r="W10" s="20"/>
      <c r="X10" s="25"/>
      <c r="Y10" s="24"/>
      <c r="Z10" s="24"/>
      <c r="AB10" s="24"/>
    </row>
    <row r="11" spans="1:28" ht="14.25" customHeight="1">
      <c r="A11" s="2">
        <v>19</v>
      </c>
      <c r="B11" s="1">
        <v>81</v>
      </c>
      <c r="C11" s="1">
        <v>972.41975308641997</v>
      </c>
      <c r="D11" s="1"/>
      <c r="E11" s="1"/>
      <c r="F11" s="2"/>
      <c r="G11" s="2"/>
      <c r="H11" s="1">
        <v>28</v>
      </c>
      <c r="I11" s="1">
        <v>1557.6428571428601</v>
      </c>
      <c r="J11" s="1"/>
      <c r="K11" s="1"/>
      <c r="N11" s="20"/>
      <c r="S11" s="23"/>
      <c r="T11" s="23"/>
      <c r="U11" s="23"/>
      <c r="V11" s="23"/>
      <c r="W11" s="20"/>
      <c r="X11" s="25"/>
      <c r="Y11" s="24"/>
      <c r="Z11" s="24"/>
      <c r="AB11" s="24"/>
    </row>
    <row r="12" spans="1:28" ht="14.25" customHeight="1" thickBot="1">
      <c r="A12" s="2">
        <v>20</v>
      </c>
      <c r="B12" s="1">
        <v>62</v>
      </c>
      <c r="C12" s="1">
        <v>944.96774193548401</v>
      </c>
      <c r="D12" s="1"/>
      <c r="E12" s="1"/>
      <c r="F12" s="2"/>
      <c r="G12" s="2"/>
      <c r="H12" s="1">
        <v>39</v>
      </c>
      <c r="I12" s="1">
        <v>1563.8461538461499</v>
      </c>
      <c r="J12" s="1"/>
      <c r="K12" s="1"/>
      <c r="N12" s="20"/>
      <c r="S12" s="23"/>
      <c r="T12" s="23"/>
      <c r="U12" s="23"/>
      <c r="V12" s="23"/>
      <c r="W12" s="20"/>
      <c r="X12" s="25"/>
      <c r="Y12" s="24"/>
      <c r="Z12" s="24"/>
      <c r="AB12" s="24"/>
    </row>
    <row r="13" spans="1:28" ht="14.25" customHeight="1" thickBot="1">
      <c r="C13" s="4" t="s">
        <v>4</v>
      </c>
      <c r="E13" s="4" t="s">
        <v>0</v>
      </c>
      <c r="I13" s="4" t="s">
        <v>4</v>
      </c>
      <c r="K13" s="9" t="s">
        <v>0</v>
      </c>
      <c r="X13" s="25"/>
      <c r="Y13" s="24"/>
      <c r="Z13" s="24"/>
      <c r="AB13" s="24"/>
    </row>
    <row r="14" spans="1:28" ht="14.25" customHeight="1">
      <c r="C14" s="27">
        <f>SUM(C3:C12)/10</f>
        <v>1254.8827061934148</v>
      </c>
      <c r="E14" s="27">
        <f>STDEV(C3:C12)</f>
        <v>375.99169711861663</v>
      </c>
      <c r="F14" s="28"/>
      <c r="G14" s="28"/>
      <c r="H14" s="28"/>
      <c r="I14" s="27">
        <f>SUM(I3:I12)/10</f>
        <v>1751.0001052755001</v>
      </c>
      <c r="J14" s="28"/>
      <c r="K14" s="27">
        <f>STDEV(I3:I12)</f>
        <v>326.30890653215869</v>
      </c>
      <c r="X14" s="25"/>
      <c r="Y14" s="24"/>
      <c r="Z14" s="24"/>
      <c r="AB14" s="24"/>
    </row>
    <row r="15" spans="1:28" ht="14.25" customHeight="1">
      <c r="C15" s="28"/>
      <c r="D15" s="28"/>
      <c r="E15" s="28"/>
      <c r="F15" s="28"/>
      <c r="G15" s="28"/>
      <c r="H15" s="28"/>
      <c r="I15" s="28"/>
      <c r="J15" s="28"/>
      <c r="K15" s="28"/>
      <c r="X15" s="25"/>
      <c r="Y15" s="24"/>
      <c r="Z15" s="24"/>
      <c r="AB15" s="24"/>
    </row>
    <row r="16" spans="1:28" ht="14.25" customHeight="1">
      <c r="X16" s="25"/>
      <c r="Y16" s="24"/>
      <c r="Z16" s="24"/>
      <c r="AB16" s="24"/>
    </row>
    <row r="17" spans="23:28" ht="14.25" customHeight="1">
      <c r="X17" s="25"/>
      <c r="Y17" s="24"/>
      <c r="Z17" s="24"/>
      <c r="AB17" s="24"/>
    </row>
    <row r="18" spans="23:28" ht="14.25" customHeight="1">
      <c r="X18" s="25"/>
      <c r="Y18" s="24"/>
      <c r="Z18" s="24"/>
      <c r="AB18" s="24"/>
    </row>
    <row r="19" spans="23:28" ht="14.25" customHeight="1">
      <c r="X19" s="25"/>
      <c r="Y19" s="24"/>
      <c r="Z19" s="24"/>
      <c r="AB19" s="24"/>
    </row>
    <row r="20" spans="23:28" ht="14.25" customHeight="1">
      <c r="X20" s="25"/>
      <c r="Y20" s="24"/>
      <c r="Z20" s="24"/>
      <c r="AB20" s="24"/>
    </row>
    <row r="21" spans="23:28" ht="14.25" customHeight="1">
      <c r="X21" s="25"/>
      <c r="Y21" s="24"/>
      <c r="Z21" s="24"/>
      <c r="AB21" s="24"/>
    </row>
    <row r="22" spans="23:28" ht="14.25" customHeight="1">
      <c r="X22" s="25"/>
      <c r="Y22" s="24"/>
      <c r="Z22" s="24"/>
      <c r="AB22" s="24"/>
    </row>
    <row r="23" spans="23:28" ht="14.25" customHeight="1">
      <c r="X23" s="25"/>
      <c r="Y23" s="24"/>
      <c r="Z23" s="24"/>
      <c r="AB23" s="24"/>
    </row>
    <row r="24" spans="23:28" ht="14.25" customHeight="1">
      <c r="Y24" s="25"/>
      <c r="Z24" s="24"/>
      <c r="AA24" s="24"/>
      <c r="AB24" s="24"/>
    </row>
    <row r="25" spans="23:28" ht="14.25" customHeight="1">
      <c r="Y25" s="25"/>
      <c r="Z25" s="24"/>
      <c r="AA25" s="24"/>
      <c r="AB25" s="24"/>
    </row>
    <row r="26" spans="23:28" ht="14.25" customHeight="1">
      <c r="Y26" s="25"/>
      <c r="Z26" s="24"/>
      <c r="AA26" s="24"/>
      <c r="AB26" s="24"/>
    </row>
    <row r="27" spans="23:28" ht="14.25" customHeight="1">
      <c r="Y27" s="25"/>
      <c r="Z27" s="24"/>
      <c r="AA27" s="24"/>
      <c r="AB27" s="24"/>
    </row>
    <row r="28" spans="23:28" ht="14.25" customHeight="1">
      <c r="Y28" s="25"/>
      <c r="Z28" s="24"/>
      <c r="AA28" s="24"/>
      <c r="AB28" s="24"/>
    </row>
    <row r="29" spans="23:28" ht="14.25" customHeight="1">
      <c r="W29" s="25"/>
      <c r="X29" s="24"/>
      <c r="Y29" s="24"/>
      <c r="Z29" s="24"/>
    </row>
    <row r="30" spans="23:28" ht="14.25" customHeight="1">
      <c r="W30" s="25"/>
      <c r="X30" s="24"/>
      <c r="Y30" s="24"/>
      <c r="Z30" s="24"/>
    </row>
    <row r="31" spans="23:28" ht="14.25" customHeight="1">
      <c r="W31" s="25"/>
      <c r="X31" s="24"/>
      <c r="Y31" s="24"/>
      <c r="Z31" s="24"/>
    </row>
    <row r="32" spans="23:28" ht="14.25" customHeight="1">
      <c r="W32" s="25"/>
      <c r="X32" s="24"/>
      <c r="Y32" s="24"/>
      <c r="Z32" s="24"/>
    </row>
    <row r="33" spans="23:26" ht="14.25" customHeight="1">
      <c r="W33" s="25"/>
      <c r="X33" s="24"/>
      <c r="Y33" s="24"/>
      <c r="Z33" s="24"/>
    </row>
    <row r="34" spans="23:26" ht="14.25" customHeight="1">
      <c r="W34" s="25"/>
      <c r="X34" s="24"/>
      <c r="Y34" s="24"/>
      <c r="Z34" s="24"/>
    </row>
    <row r="35" spans="23:26" ht="14.25" customHeight="1">
      <c r="W35" s="25"/>
      <c r="X35" s="24"/>
      <c r="Y35" s="24"/>
      <c r="Z35" s="24"/>
    </row>
    <row r="36" spans="23:26" ht="14.25" customHeight="1">
      <c r="W36" s="25"/>
      <c r="X36" s="24"/>
      <c r="Y36" s="24"/>
      <c r="Z36" s="24"/>
    </row>
    <row r="37" spans="23:26" ht="14.25" customHeight="1">
      <c r="W37" s="25"/>
      <c r="X37" s="24"/>
      <c r="Y37" s="24"/>
      <c r="Z37" s="24"/>
    </row>
    <row r="38" spans="23:26" ht="14.25" customHeight="1">
      <c r="W38" s="25"/>
      <c r="X38" s="24"/>
      <c r="Y38" s="24"/>
      <c r="Z38" s="24"/>
    </row>
    <row r="39" spans="23:26" ht="14.25" customHeight="1">
      <c r="W39" s="25"/>
      <c r="X39" s="24"/>
      <c r="Y39" s="24"/>
      <c r="Z39" s="24"/>
    </row>
    <row r="40" spans="23:26" ht="14.25" customHeight="1">
      <c r="W40" s="25"/>
      <c r="X40" s="24"/>
      <c r="Y40" s="24"/>
      <c r="Z40" s="24"/>
    </row>
    <row r="41" spans="23:26" ht="14.25" customHeight="1">
      <c r="W41" s="25"/>
      <c r="X41" s="24"/>
      <c r="Y41" s="24"/>
      <c r="Z41" s="24"/>
    </row>
    <row r="42" spans="23:26" ht="14.25" customHeight="1">
      <c r="W42" s="25"/>
      <c r="X42" s="24"/>
      <c r="Y42" s="24"/>
      <c r="Z42" s="24"/>
    </row>
    <row r="43" spans="23:26" ht="14.25" customHeight="1">
      <c r="W43" s="25"/>
      <c r="X43" s="24"/>
      <c r="Y43" s="24"/>
      <c r="Z43" s="24"/>
    </row>
    <row r="44" spans="23:26" ht="14.25" customHeight="1">
      <c r="W44" s="25"/>
      <c r="X44" s="24"/>
      <c r="Y44" s="24"/>
      <c r="Z44" s="24"/>
    </row>
    <row r="45" spans="23:26" ht="14.25" customHeight="1">
      <c r="W45" s="25"/>
      <c r="X45" s="24"/>
      <c r="Y45" s="24"/>
      <c r="Z45" s="24"/>
    </row>
    <row r="46" spans="23:26" ht="14.25" customHeight="1">
      <c r="W46" s="25"/>
      <c r="X46" s="24"/>
      <c r="Y46" s="24"/>
      <c r="Z46" s="24"/>
    </row>
    <row r="47" spans="23:26" ht="14.25" customHeight="1">
      <c r="W47" s="25"/>
      <c r="X47" s="24"/>
      <c r="Y47" s="24"/>
      <c r="Z47" s="24"/>
    </row>
    <row r="48" spans="23:26" ht="14.25" customHeight="1">
      <c r="W48" s="25"/>
      <c r="X48" s="24"/>
      <c r="Y48" s="24"/>
      <c r="Z48" s="24"/>
    </row>
    <row r="49" spans="23:26" ht="14.25" customHeight="1">
      <c r="W49" s="25"/>
      <c r="X49" s="24"/>
      <c r="Y49" s="24"/>
      <c r="Z49" s="24"/>
    </row>
    <row r="50" spans="23:26" ht="14.25" customHeight="1">
      <c r="W50" s="25"/>
      <c r="X50" s="24"/>
      <c r="Y50" s="24"/>
      <c r="Z50" s="24"/>
    </row>
    <row r="51" spans="23:26" ht="14.25" customHeight="1"/>
    <row r="52" spans="23:26" ht="14.25" customHeight="1"/>
    <row r="53" spans="23:26" ht="14.25" customHeight="1"/>
    <row r="54" spans="23:26" ht="14.25" customHeight="1"/>
    <row r="55" spans="23:26" ht="14.25" customHeight="1"/>
    <row r="56" spans="23:26" ht="14.25" customHeight="1"/>
    <row r="57" spans="23:26" ht="14.25" customHeight="1"/>
    <row r="58" spans="23:26" ht="14.25" customHeight="1"/>
    <row r="59" spans="23:26" ht="14.25" customHeight="1"/>
    <row r="60" spans="23:26" ht="14.25" customHeight="1"/>
    <row r="61" spans="23:26" ht="14.25" customHeight="1"/>
    <row r="62" spans="23:26" ht="14.25" customHeight="1"/>
    <row r="63" spans="23:26" ht="14.25" customHeight="1"/>
    <row r="64" spans="23:2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9"/>
  <sheetViews>
    <sheetView zoomScale="55" zoomScaleNormal="55" workbookViewId="0">
      <selection activeCell="H2" sqref="H2"/>
    </sheetView>
  </sheetViews>
  <sheetFormatPr defaultColWidth="14.5" defaultRowHeight="15" customHeight="1"/>
  <cols>
    <col min="1" max="1" width="8.625" customWidth="1"/>
    <col min="2" max="2" width="23.625" customWidth="1"/>
    <col min="3" max="3" width="12.5" customWidth="1"/>
    <col min="4" max="4" width="8.625" customWidth="1"/>
    <col min="6" max="7" width="8.625" customWidth="1"/>
    <col min="8" max="8" width="17.375" customWidth="1"/>
    <col min="9" max="9" width="10.875" customWidth="1"/>
    <col min="10" max="10" width="8.625" customWidth="1"/>
    <col min="11" max="11" width="14.625" customWidth="1"/>
    <col min="12" max="12" width="8.625" style="16" customWidth="1"/>
    <col min="13" max="13" width="21.375" style="16" customWidth="1"/>
    <col min="14" max="14" width="19.5" style="16" customWidth="1"/>
    <col min="15" max="15" width="21.875" style="16" customWidth="1"/>
    <col min="16" max="16" width="22.625" style="16" customWidth="1"/>
    <col min="17" max="17" width="24.5" style="16" customWidth="1"/>
    <col min="18" max="18" width="21.5" style="16" customWidth="1"/>
    <col min="19" max="19" width="21" style="16" customWidth="1"/>
    <col min="20" max="20" width="12.5" style="16" customWidth="1"/>
    <col min="21" max="25" width="8.625" style="16" customWidth="1"/>
    <col min="26" max="30" width="8.625" customWidth="1"/>
  </cols>
  <sheetData>
    <row r="1" spans="1:28" ht="14.25" customHeight="1">
      <c r="B1" s="2"/>
      <c r="C1" s="5" t="s">
        <v>2</v>
      </c>
      <c r="D1" s="4"/>
      <c r="E1" s="4"/>
      <c r="F1" s="4"/>
      <c r="G1" s="4"/>
      <c r="H1" s="4"/>
      <c r="I1" s="5" t="s">
        <v>3</v>
      </c>
      <c r="J1" s="2"/>
      <c r="K1" s="2"/>
      <c r="O1" s="21"/>
    </row>
    <row r="2" spans="1:28" ht="14.25" customHeight="1">
      <c r="A2" s="5" t="s">
        <v>6</v>
      </c>
      <c r="B2" s="5" t="s">
        <v>7</v>
      </c>
      <c r="C2" s="5" t="s">
        <v>1</v>
      </c>
      <c r="D2" s="5"/>
      <c r="E2" s="5" t="s">
        <v>0</v>
      </c>
      <c r="F2" s="5"/>
      <c r="G2" s="5"/>
      <c r="H2" s="5" t="s">
        <v>7</v>
      </c>
      <c r="I2" s="5" t="s">
        <v>1</v>
      </c>
      <c r="J2" s="5"/>
      <c r="K2" s="5" t="s">
        <v>0</v>
      </c>
      <c r="L2" s="17"/>
      <c r="M2" s="18"/>
      <c r="N2" s="18"/>
      <c r="O2" s="18"/>
      <c r="P2" s="18"/>
      <c r="Q2" s="18"/>
      <c r="S2" s="18"/>
      <c r="T2" s="18"/>
      <c r="U2" s="18"/>
      <c r="V2" s="18"/>
      <c r="W2" s="20"/>
      <c r="X2" s="20"/>
    </row>
    <row r="3" spans="1:28" ht="14.25" customHeight="1">
      <c r="A3" s="2">
        <v>11</v>
      </c>
      <c r="B3" s="1">
        <v>64</v>
      </c>
      <c r="C3" s="1">
        <v>547.796875</v>
      </c>
      <c r="D3" s="1"/>
      <c r="E3" s="1"/>
      <c r="F3" s="2"/>
      <c r="G3" s="2"/>
      <c r="H3" s="1">
        <v>19</v>
      </c>
      <c r="I3" s="1">
        <v>1167.7368421052599</v>
      </c>
      <c r="J3" s="1"/>
      <c r="K3" s="1"/>
      <c r="M3" s="20"/>
      <c r="N3" s="20"/>
      <c r="S3" s="23"/>
      <c r="T3" s="23"/>
      <c r="U3" s="23"/>
      <c r="V3" s="23"/>
      <c r="W3" s="20"/>
      <c r="X3" s="25"/>
      <c r="Y3" s="24"/>
      <c r="Z3" s="8"/>
      <c r="AB3" s="8"/>
    </row>
    <row r="4" spans="1:28" ht="14.25" customHeight="1">
      <c r="A4" s="26">
        <v>12</v>
      </c>
      <c r="B4" s="1">
        <v>63</v>
      </c>
      <c r="C4" s="1">
        <v>419.41269841269798</v>
      </c>
      <c r="D4" s="1"/>
      <c r="E4" s="1"/>
      <c r="F4" s="2"/>
      <c r="G4" s="2"/>
      <c r="H4" s="1">
        <v>24</v>
      </c>
      <c r="I4" s="1">
        <v>976.75</v>
      </c>
      <c r="J4" s="1"/>
      <c r="K4" s="1"/>
      <c r="M4" s="20"/>
      <c r="N4" s="20"/>
      <c r="S4" s="23"/>
      <c r="T4" s="23"/>
      <c r="U4" s="23"/>
      <c r="V4" s="23"/>
      <c r="W4" s="20"/>
      <c r="X4" s="25"/>
      <c r="Y4" s="24"/>
      <c r="Z4" s="8"/>
      <c r="AB4" s="8"/>
    </row>
    <row r="5" spans="1:28" ht="14.25" customHeight="1">
      <c r="A5" s="23">
        <v>13</v>
      </c>
      <c r="B5" s="1">
        <v>58</v>
      </c>
      <c r="C5" s="1">
        <v>490.241379310345</v>
      </c>
      <c r="D5" s="1"/>
      <c r="E5" s="1"/>
      <c r="F5" s="2"/>
      <c r="G5" s="2"/>
      <c r="H5" s="1">
        <v>26</v>
      </c>
      <c r="I5" s="1">
        <v>848.92307692307702</v>
      </c>
      <c r="J5" s="1"/>
      <c r="K5" s="1"/>
      <c r="M5" s="20"/>
      <c r="N5" s="20"/>
      <c r="S5" s="23"/>
      <c r="T5" s="23"/>
      <c r="U5" s="23"/>
      <c r="V5" s="23"/>
      <c r="W5" s="20"/>
      <c r="X5" s="25"/>
      <c r="Y5" s="24"/>
      <c r="Z5" s="8"/>
      <c r="AB5" s="8"/>
    </row>
    <row r="6" spans="1:28" ht="14.25" customHeight="1">
      <c r="A6" s="23">
        <v>14</v>
      </c>
      <c r="B6" s="1">
        <v>55</v>
      </c>
      <c r="C6" s="1">
        <v>630.90909090909099</v>
      </c>
      <c r="D6" s="1"/>
      <c r="E6" s="1"/>
      <c r="F6" s="2"/>
      <c r="G6" s="2"/>
      <c r="H6" s="1">
        <v>19</v>
      </c>
      <c r="I6" s="1">
        <v>1302.21052631579</v>
      </c>
      <c r="J6" s="1"/>
      <c r="K6" s="1"/>
      <c r="M6" s="20"/>
      <c r="N6" s="20"/>
      <c r="S6" s="23"/>
      <c r="T6" s="23"/>
      <c r="U6" s="23"/>
      <c r="V6" s="23"/>
      <c r="W6" s="20"/>
      <c r="X6" s="25"/>
      <c r="Y6" s="24"/>
      <c r="Z6" s="8"/>
      <c r="AB6" s="8"/>
    </row>
    <row r="7" spans="1:28" ht="14.25" customHeight="1">
      <c r="A7" s="23">
        <v>15</v>
      </c>
      <c r="B7" s="1">
        <v>51</v>
      </c>
      <c r="C7" s="1">
        <v>698.54901960784298</v>
      </c>
      <c r="D7" s="1"/>
      <c r="E7" s="1"/>
      <c r="F7" s="2"/>
      <c r="G7" s="2"/>
      <c r="H7" s="1">
        <v>27</v>
      </c>
      <c r="I7" s="1">
        <v>1050.4814814814799</v>
      </c>
      <c r="J7" s="1"/>
      <c r="K7" s="1"/>
      <c r="M7" s="20"/>
      <c r="N7" s="20"/>
      <c r="S7" s="23"/>
      <c r="T7" s="23"/>
      <c r="U7" s="23"/>
      <c r="V7" s="23"/>
      <c r="W7" s="20"/>
      <c r="X7" s="25"/>
      <c r="Y7" s="24"/>
      <c r="Z7" s="8"/>
      <c r="AB7" s="8"/>
    </row>
    <row r="8" spans="1:28" ht="14.25" customHeight="1">
      <c r="A8" s="23">
        <v>16</v>
      </c>
      <c r="B8" s="1">
        <v>68</v>
      </c>
      <c r="C8" s="1">
        <v>480.691176470588</v>
      </c>
      <c r="D8" s="1"/>
      <c r="E8" s="1"/>
      <c r="F8" s="2"/>
      <c r="G8" s="2"/>
      <c r="H8" s="1">
        <v>18</v>
      </c>
      <c r="I8" s="1">
        <v>1039.55555555556</v>
      </c>
      <c r="J8" s="1"/>
      <c r="K8" s="1"/>
      <c r="M8" s="20"/>
      <c r="N8" s="20"/>
      <c r="S8" s="23"/>
      <c r="T8" s="23"/>
      <c r="U8" s="23"/>
      <c r="V8" s="23"/>
      <c r="W8" s="20"/>
      <c r="X8" s="25"/>
      <c r="Y8" s="24"/>
      <c r="Z8" s="8"/>
      <c r="AB8" s="8"/>
    </row>
    <row r="9" spans="1:28" ht="14.25" customHeight="1">
      <c r="A9" s="26">
        <v>17</v>
      </c>
      <c r="B9" s="1">
        <v>64</v>
      </c>
      <c r="C9" s="1">
        <v>485.28125</v>
      </c>
      <c r="D9" s="1"/>
      <c r="E9" s="1"/>
      <c r="F9" s="2"/>
      <c r="G9" s="2"/>
      <c r="H9" s="1">
        <v>22</v>
      </c>
      <c r="I9" s="1">
        <v>1036.95454545455</v>
      </c>
      <c r="J9" s="1"/>
      <c r="K9" s="1"/>
      <c r="M9" s="20"/>
      <c r="N9" s="20"/>
      <c r="S9" s="23"/>
      <c r="T9" s="23"/>
      <c r="U9" s="23"/>
      <c r="V9" s="23"/>
      <c r="W9" s="20"/>
      <c r="X9" s="25"/>
      <c r="Y9" s="24"/>
      <c r="Z9" s="8"/>
      <c r="AB9" s="8"/>
    </row>
    <row r="10" spans="1:28" ht="14.25" customHeight="1">
      <c r="A10" s="2">
        <v>18</v>
      </c>
      <c r="B10" s="1">
        <v>57</v>
      </c>
      <c r="C10" s="1">
        <v>486.89473684210498</v>
      </c>
      <c r="D10" s="1"/>
      <c r="E10" s="1"/>
      <c r="F10" s="2"/>
      <c r="G10" s="2"/>
      <c r="H10" s="1">
        <v>19</v>
      </c>
      <c r="I10" s="1">
        <v>1190.94736842105</v>
      </c>
      <c r="J10" s="1"/>
      <c r="K10" s="1"/>
      <c r="M10" s="22"/>
      <c r="N10" s="20"/>
      <c r="S10" s="23"/>
      <c r="T10" s="23"/>
      <c r="U10" s="23"/>
      <c r="V10" s="23"/>
      <c r="W10" s="20"/>
      <c r="X10" s="25"/>
      <c r="Y10" s="24"/>
      <c r="Z10" s="8"/>
      <c r="AB10" s="8"/>
    </row>
    <row r="11" spans="1:28" ht="14.25" customHeight="1">
      <c r="A11" s="2">
        <v>19</v>
      </c>
      <c r="B11" s="1">
        <v>36</v>
      </c>
      <c r="C11" s="1">
        <v>835.52777777777806</v>
      </c>
      <c r="D11" s="1"/>
      <c r="E11" s="1"/>
      <c r="F11" s="2"/>
      <c r="G11" s="2"/>
      <c r="H11" s="1">
        <v>26</v>
      </c>
      <c r="I11" s="1">
        <v>1348.5</v>
      </c>
      <c r="J11" s="1"/>
      <c r="K11" s="1"/>
      <c r="M11" s="20"/>
      <c r="N11" s="20"/>
      <c r="S11" s="23"/>
      <c r="T11" s="23"/>
      <c r="U11" s="23"/>
      <c r="V11" s="23"/>
      <c r="W11" s="20"/>
      <c r="X11" s="25"/>
      <c r="Y11" s="24"/>
      <c r="Z11" s="8"/>
      <c r="AB11" s="8"/>
    </row>
    <row r="12" spans="1:28" ht="14.25" customHeight="1" thickBot="1">
      <c r="A12" s="2">
        <v>20</v>
      </c>
      <c r="B12" s="1">
        <v>63</v>
      </c>
      <c r="C12" s="1">
        <v>607.17460317460302</v>
      </c>
      <c r="D12" s="1"/>
      <c r="E12" s="1"/>
      <c r="F12" s="2"/>
      <c r="G12" s="2"/>
      <c r="H12" s="1">
        <v>16</v>
      </c>
      <c r="I12" s="1">
        <v>1325.0625</v>
      </c>
      <c r="J12" s="1"/>
      <c r="K12" s="1"/>
      <c r="M12" s="20"/>
      <c r="N12" s="20"/>
      <c r="S12" s="23"/>
      <c r="T12" s="23"/>
      <c r="U12" s="23"/>
      <c r="V12" s="23"/>
      <c r="W12" s="20"/>
      <c r="X12" s="25"/>
      <c r="Y12" s="24"/>
      <c r="Z12" s="8"/>
      <c r="AB12" s="8"/>
    </row>
    <row r="13" spans="1:28" ht="14.25" customHeight="1" thickBot="1">
      <c r="C13" s="4" t="s">
        <v>4</v>
      </c>
      <c r="E13" s="4" t="s">
        <v>0</v>
      </c>
      <c r="I13" s="4" t="s">
        <v>4</v>
      </c>
      <c r="K13" s="9" t="s">
        <v>0</v>
      </c>
      <c r="X13" s="25"/>
      <c r="Y13" s="24"/>
      <c r="Z13" s="8"/>
      <c r="AB13" s="8"/>
    </row>
    <row r="14" spans="1:28" ht="14.25" customHeight="1">
      <c r="C14" s="27">
        <f>SUM(C3:C12)/10</f>
        <v>568.2478607505052</v>
      </c>
      <c r="D14" s="28"/>
      <c r="E14" s="27">
        <f>STDEV(C3:C12)</f>
        <v>126.35126910084512</v>
      </c>
      <c r="F14" s="28"/>
      <c r="G14" s="28"/>
      <c r="H14" s="28"/>
      <c r="I14" s="27">
        <f>SUM(I3:I12)/10</f>
        <v>1128.7121896256767</v>
      </c>
      <c r="J14" s="28"/>
      <c r="K14" s="27">
        <f>STDEV(I3:I12)</f>
        <v>165.40213918082608</v>
      </c>
      <c r="X14" s="25"/>
      <c r="Y14" s="24"/>
      <c r="Z14" s="8"/>
      <c r="AB14" s="8"/>
    </row>
    <row r="15" spans="1:28" ht="14.25" customHeight="1">
      <c r="C15" s="28"/>
      <c r="D15" s="28"/>
      <c r="E15" s="28"/>
      <c r="F15" s="28"/>
      <c r="G15" s="28"/>
      <c r="H15" s="28"/>
      <c r="I15" s="28"/>
      <c r="J15" s="28"/>
      <c r="K15" s="28"/>
      <c r="X15" s="25"/>
      <c r="Y15" s="24"/>
      <c r="Z15" s="8"/>
      <c r="AB15" s="8"/>
    </row>
    <row r="16" spans="1:28" ht="14.25" customHeight="1">
      <c r="X16" s="25"/>
      <c r="Y16" s="24"/>
      <c r="Z16" s="8"/>
      <c r="AB16" s="8"/>
    </row>
    <row r="17" spans="21:28" ht="14.25" customHeight="1">
      <c r="X17" s="25"/>
      <c r="Y17" s="24"/>
      <c r="Z17" s="8"/>
      <c r="AB17" s="8"/>
    </row>
    <row r="18" spans="21:28" ht="14.25" customHeight="1">
      <c r="X18" s="25"/>
      <c r="Y18" s="24"/>
      <c r="Z18" s="8"/>
      <c r="AB18" s="8"/>
    </row>
    <row r="19" spans="21:28" ht="14.25" customHeight="1">
      <c r="X19" s="25"/>
      <c r="Y19" s="24"/>
      <c r="Z19" s="8"/>
      <c r="AB19" s="8"/>
    </row>
    <row r="20" spans="21:28" ht="14.25" customHeight="1">
      <c r="X20" s="25"/>
      <c r="Y20" s="24"/>
      <c r="Z20" s="8"/>
      <c r="AB20" s="8"/>
    </row>
    <row r="21" spans="21:28" ht="14.25" customHeight="1">
      <c r="X21" s="25"/>
      <c r="Y21" s="24"/>
      <c r="Z21" s="8"/>
      <c r="AB21" s="8"/>
    </row>
    <row r="22" spans="21:28" ht="14.25" customHeight="1">
      <c r="X22" s="25"/>
      <c r="Y22" s="24"/>
      <c r="Z22" s="8"/>
      <c r="AB22" s="8"/>
    </row>
    <row r="23" spans="21:28" ht="14.25" customHeight="1">
      <c r="X23" s="25"/>
      <c r="Y23" s="24"/>
      <c r="Z23" s="8"/>
      <c r="AB23" s="8"/>
    </row>
    <row r="24" spans="21:28" ht="14.25" customHeight="1">
      <c r="Y24" s="25"/>
      <c r="Z24" s="8"/>
      <c r="AA24" s="8"/>
      <c r="AB24" s="8"/>
    </row>
    <row r="25" spans="21:28" ht="14.25" customHeight="1">
      <c r="Y25" s="25"/>
      <c r="Z25" s="8"/>
      <c r="AA25" s="8"/>
      <c r="AB25" s="8"/>
    </row>
    <row r="26" spans="21:28" ht="14.25" customHeight="1">
      <c r="Y26" s="25"/>
      <c r="Z26" s="8"/>
      <c r="AA26" s="8"/>
      <c r="AB26" s="8"/>
    </row>
    <row r="27" spans="21:28" ht="14.25" customHeight="1">
      <c r="Y27" s="25"/>
      <c r="Z27" s="8"/>
      <c r="AA27" s="8"/>
      <c r="AB27" s="8"/>
    </row>
    <row r="28" spans="21:28" ht="14.25" customHeight="1">
      <c r="U28" s="25"/>
      <c r="V28" s="24"/>
      <c r="W28" s="24"/>
      <c r="X28" s="24"/>
    </row>
    <row r="29" spans="21:28" ht="14.25" customHeight="1">
      <c r="U29" s="25"/>
      <c r="V29" s="24"/>
      <c r="W29" s="24"/>
      <c r="X29" s="24"/>
    </row>
    <row r="30" spans="21:28" ht="14.25" customHeight="1">
      <c r="U30" s="25"/>
      <c r="V30" s="24"/>
      <c r="W30" s="24"/>
      <c r="X30" s="24"/>
    </row>
    <row r="31" spans="21:28" ht="14.25" customHeight="1">
      <c r="U31" s="25"/>
      <c r="V31" s="24"/>
      <c r="W31" s="24"/>
      <c r="X31" s="24"/>
    </row>
    <row r="32" spans="21:28" ht="14.25" customHeight="1">
      <c r="U32" s="25"/>
      <c r="V32" s="24"/>
      <c r="W32" s="24"/>
      <c r="X32" s="24"/>
    </row>
    <row r="33" spans="21:24" ht="14.25" customHeight="1">
      <c r="U33" s="25"/>
      <c r="V33" s="24"/>
      <c r="W33" s="24"/>
      <c r="X33" s="24"/>
    </row>
    <row r="34" spans="21:24" ht="14.25" customHeight="1">
      <c r="U34" s="25"/>
      <c r="V34" s="24"/>
      <c r="W34" s="24"/>
      <c r="X34" s="24"/>
    </row>
    <row r="35" spans="21:24" ht="14.25" customHeight="1">
      <c r="U35" s="25"/>
      <c r="V35" s="24"/>
      <c r="W35" s="24"/>
      <c r="X35" s="24"/>
    </row>
    <row r="36" spans="21:24" ht="14.25" customHeight="1">
      <c r="U36" s="25"/>
      <c r="V36" s="24"/>
      <c r="W36" s="24"/>
      <c r="X36" s="24"/>
    </row>
    <row r="37" spans="21:24" ht="14.25" customHeight="1">
      <c r="U37" s="25"/>
      <c r="V37" s="24"/>
      <c r="W37" s="24"/>
      <c r="X37" s="24"/>
    </row>
    <row r="38" spans="21:24" ht="14.25" customHeight="1">
      <c r="U38" s="25"/>
      <c r="V38" s="24"/>
      <c r="W38" s="24"/>
      <c r="X38" s="24"/>
    </row>
    <row r="39" spans="21:24" ht="14.25" customHeight="1">
      <c r="U39" s="25"/>
      <c r="V39" s="24"/>
      <c r="W39" s="24"/>
      <c r="X39" s="24"/>
    </row>
    <row r="40" spans="21:24" ht="14.25" customHeight="1">
      <c r="U40" s="25"/>
      <c r="V40" s="24"/>
      <c r="W40" s="24"/>
      <c r="X40" s="24"/>
    </row>
    <row r="41" spans="21:24" ht="14.25" customHeight="1">
      <c r="U41" s="25"/>
      <c r="V41" s="24"/>
      <c r="W41" s="24"/>
      <c r="X41" s="24"/>
    </row>
    <row r="42" spans="21:24" ht="14.25" customHeight="1">
      <c r="U42" s="25"/>
      <c r="V42" s="24"/>
      <c r="W42" s="24"/>
      <c r="X42" s="24"/>
    </row>
    <row r="43" spans="21:24" ht="14.25" customHeight="1">
      <c r="U43" s="25"/>
      <c r="V43" s="24"/>
      <c r="W43" s="24"/>
      <c r="X43" s="24"/>
    </row>
    <row r="44" spans="21:24" ht="14.25" customHeight="1">
      <c r="U44" s="25"/>
      <c r="V44" s="24"/>
      <c r="W44" s="24"/>
      <c r="X44" s="24"/>
    </row>
    <row r="45" spans="21:24" ht="14.25" customHeight="1">
      <c r="U45" s="25"/>
      <c r="V45" s="24"/>
      <c r="W45" s="24"/>
      <c r="X45" s="24"/>
    </row>
    <row r="46" spans="21:24" ht="14.25" customHeight="1">
      <c r="U46" s="25"/>
      <c r="V46" s="24"/>
      <c r="W46" s="24"/>
      <c r="X46" s="24"/>
    </row>
    <row r="47" spans="21:24" ht="14.25" customHeight="1">
      <c r="U47" s="25"/>
      <c r="V47" s="24"/>
      <c r="W47" s="24"/>
      <c r="X47" s="24"/>
    </row>
    <row r="48" spans="21:24" ht="14.25" customHeight="1">
      <c r="U48" s="25"/>
      <c r="V48" s="24"/>
      <c r="W48" s="24"/>
      <c r="X48" s="24"/>
    </row>
    <row r="49" spans="21:24" ht="14.25" customHeight="1">
      <c r="U49" s="25"/>
      <c r="V49" s="24"/>
      <c r="W49" s="24"/>
      <c r="X49" s="24"/>
    </row>
    <row r="50" spans="21:24" ht="14.25" customHeight="1">
      <c r="U50" s="25"/>
      <c r="V50" s="24"/>
      <c r="W50" s="24"/>
      <c r="X50" s="24"/>
    </row>
    <row r="51" spans="21:24" ht="14.25" customHeight="1"/>
    <row r="52" spans="21:24" ht="14.25" customHeight="1"/>
    <row r="53" spans="21:24" ht="14.25" customHeight="1"/>
    <row r="54" spans="21:24" ht="14.25" customHeight="1"/>
    <row r="55" spans="21:24" ht="14.25" customHeight="1"/>
    <row r="56" spans="21:24" ht="14.25" customHeight="1"/>
    <row r="57" spans="21:24" ht="14.25" customHeight="1"/>
    <row r="58" spans="21:24" ht="14.25" customHeight="1"/>
    <row r="59" spans="21:24" ht="14.25" customHeight="1"/>
    <row r="60" spans="21:24" ht="14.25" customHeight="1"/>
    <row r="61" spans="21:24" ht="14.25" customHeight="1"/>
    <row r="62" spans="21:24" ht="14.25" customHeight="1"/>
    <row r="63" spans="21:24" ht="14.25" customHeight="1"/>
    <row r="64" spans="21:2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9"/>
  <sheetViews>
    <sheetView topLeftCell="D1" zoomScale="70" zoomScaleNormal="70" workbookViewId="0">
      <selection activeCell="E23" sqref="E23"/>
    </sheetView>
  </sheetViews>
  <sheetFormatPr defaultColWidth="14.5" defaultRowHeight="15" customHeight="1"/>
  <cols>
    <col min="1" max="1" width="8.625" customWidth="1"/>
    <col min="2" max="2" width="23.625" customWidth="1"/>
    <col min="3" max="3" width="12.375" customWidth="1"/>
    <col min="4" max="4" width="8.625" customWidth="1"/>
    <col min="6" max="7" width="8.625" customWidth="1"/>
    <col min="8" max="8" width="17.375" customWidth="1"/>
    <col min="9" max="9" width="12.375" customWidth="1"/>
    <col min="10" max="10" width="8.625" customWidth="1"/>
    <col min="11" max="11" width="14.625" customWidth="1"/>
    <col min="12" max="12" width="8.625" style="16" customWidth="1"/>
    <col min="13" max="13" width="21.375" style="16" customWidth="1"/>
    <col min="14" max="14" width="19.5" style="16" customWidth="1"/>
    <col min="15" max="15" width="21.875" style="16" customWidth="1"/>
    <col min="16" max="16" width="22.625" style="16" customWidth="1"/>
    <col min="17" max="17" width="24.5" style="16" customWidth="1"/>
    <col min="18" max="18" width="21.5" style="16" customWidth="1"/>
    <col min="19" max="19" width="21" style="16" customWidth="1"/>
    <col min="20" max="20" width="12.5" style="16" customWidth="1"/>
    <col min="21" max="27" width="8.625" style="16" customWidth="1"/>
    <col min="28" max="30" width="8.625" customWidth="1"/>
  </cols>
  <sheetData>
    <row r="1" spans="1:28" ht="14.25" customHeight="1">
      <c r="B1" s="2"/>
      <c r="C1" s="5" t="s">
        <v>2</v>
      </c>
      <c r="D1" s="4"/>
      <c r="E1" s="4"/>
      <c r="F1" s="4"/>
      <c r="G1" s="4"/>
      <c r="H1" s="4"/>
      <c r="I1" s="5" t="s">
        <v>3</v>
      </c>
      <c r="J1" s="2"/>
      <c r="K1" s="2"/>
      <c r="O1" s="21"/>
    </row>
    <row r="2" spans="1:28" ht="14.25" customHeight="1">
      <c r="A2" s="5" t="s">
        <v>6</v>
      </c>
      <c r="B2" s="5" t="s">
        <v>7</v>
      </c>
      <c r="C2" s="5" t="s">
        <v>1</v>
      </c>
      <c r="D2" s="5"/>
      <c r="E2" s="5" t="s">
        <v>0</v>
      </c>
      <c r="F2" s="5"/>
      <c r="G2" s="5"/>
      <c r="H2" s="5" t="s">
        <v>7</v>
      </c>
      <c r="I2" s="5" t="s">
        <v>1</v>
      </c>
      <c r="J2" s="5"/>
      <c r="K2" s="5" t="s">
        <v>0</v>
      </c>
      <c r="L2" s="17"/>
      <c r="M2" s="18"/>
      <c r="N2" s="18"/>
      <c r="O2" s="18"/>
      <c r="P2" s="18"/>
      <c r="Q2" s="18"/>
      <c r="S2" s="18"/>
      <c r="T2" s="18"/>
      <c r="U2" s="18"/>
      <c r="V2" s="18"/>
      <c r="W2" s="20"/>
      <c r="X2" s="20"/>
    </row>
    <row r="3" spans="1:28" ht="14.25" customHeight="1">
      <c r="A3" s="2">
        <v>11</v>
      </c>
      <c r="B3" s="1">
        <v>54</v>
      </c>
      <c r="C3" s="1">
        <v>5597.3888888888896</v>
      </c>
      <c r="D3" s="1"/>
      <c r="E3" s="1"/>
      <c r="F3" s="2"/>
      <c r="G3" s="2"/>
      <c r="H3" s="1">
        <v>19</v>
      </c>
      <c r="I3" s="1">
        <v>6114.3157894736796</v>
      </c>
      <c r="J3" s="1"/>
      <c r="K3" s="1"/>
      <c r="N3" s="20"/>
      <c r="S3" s="23"/>
      <c r="T3" s="23"/>
      <c r="U3" s="23"/>
      <c r="V3" s="23"/>
      <c r="W3" s="20"/>
      <c r="X3" s="25"/>
      <c r="Y3" s="24"/>
      <c r="Z3" s="24"/>
      <c r="AB3" s="8"/>
    </row>
    <row r="4" spans="1:28" ht="14.25" customHeight="1">
      <c r="A4" s="2">
        <v>12</v>
      </c>
      <c r="B4" s="1">
        <v>53</v>
      </c>
      <c r="C4" s="1">
        <v>5651.28301886792</v>
      </c>
      <c r="D4" s="1"/>
      <c r="E4" s="1"/>
      <c r="F4" s="2"/>
      <c r="G4" s="2"/>
      <c r="H4" s="1">
        <v>19</v>
      </c>
      <c r="I4" s="1">
        <v>6215.8947368421004</v>
      </c>
      <c r="J4" s="1"/>
      <c r="K4" s="1"/>
      <c r="N4" s="20"/>
      <c r="S4" s="23"/>
      <c r="T4" s="23"/>
      <c r="U4" s="23"/>
      <c r="V4" s="23"/>
      <c r="W4" s="20"/>
      <c r="X4" s="25"/>
      <c r="Y4" s="24"/>
      <c r="Z4" s="24"/>
      <c r="AB4" s="8"/>
    </row>
    <row r="5" spans="1:28" ht="14.25" customHeight="1">
      <c r="A5" s="2">
        <v>13</v>
      </c>
      <c r="B5" s="1">
        <v>53</v>
      </c>
      <c r="C5" s="1">
        <v>5813.6226415094297</v>
      </c>
      <c r="D5" s="1"/>
      <c r="E5" s="1"/>
      <c r="F5" s="2"/>
      <c r="G5" s="2"/>
      <c r="H5" s="1">
        <v>18</v>
      </c>
      <c r="I5" s="1">
        <v>6321.8888888888896</v>
      </c>
      <c r="J5" s="1"/>
      <c r="K5" s="1"/>
      <c r="N5" s="20"/>
      <c r="S5" s="23"/>
      <c r="T5" s="23"/>
      <c r="U5" s="23"/>
      <c r="V5" s="23"/>
      <c r="W5" s="20"/>
      <c r="X5" s="25"/>
      <c r="Y5" s="24"/>
      <c r="Z5" s="24"/>
      <c r="AB5" s="8"/>
    </row>
    <row r="6" spans="1:28" ht="14.25" customHeight="1">
      <c r="A6" s="2">
        <v>14</v>
      </c>
      <c r="B6" s="1">
        <v>44</v>
      </c>
      <c r="C6" s="1">
        <v>5792.8181818181802</v>
      </c>
      <c r="D6" s="1"/>
      <c r="E6" s="1"/>
      <c r="F6" s="2"/>
      <c r="G6" s="2"/>
      <c r="H6" s="1">
        <v>24</v>
      </c>
      <c r="I6" s="1">
        <v>6355.1666666666697</v>
      </c>
      <c r="J6" s="1"/>
      <c r="K6" s="1"/>
      <c r="N6" s="20"/>
      <c r="S6" s="23"/>
      <c r="T6" s="23"/>
      <c r="U6" s="23"/>
      <c r="V6" s="23"/>
      <c r="W6" s="20"/>
      <c r="X6" s="25"/>
      <c r="Y6" s="24"/>
      <c r="Z6" s="24"/>
      <c r="AB6" s="8"/>
    </row>
    <row r="7" spans="1:28" ht="14.25" customHeight="1">
      <c r="A7" s="2">
        <v>15</v>
      </c>
      <c r="B7" s="1">
        <v>45</v>
      </c>
      <c r="C7" s="1">
        <v>5917.9555555555598</v>
      </c>
      <c r="D7" s="1"/>
      <c r="E7" s="1"/>
      <c r="F7" s="2"/>
      <c r="G7" s="2"/>
      <c r="H7" s="1">
        <v>22</v>
      </c>
      <c r="I7" s="1">
        <v>6211.3636363636397</v>
      </c>
      <c r="J7" s="1"/>
      <c r="K7" s="1"/>
      <c r="N7" s="20"/>
      <c r="S7" s="23"/>
      <c r="T7" s="23"/>
      <c r="U7" s="23"/>
      <c r="V7" s="23"/>
      <c r="W7" s="20"/>
      <c r="X7" s="25"/>
      <c r="Y7" s="24"/>
      <c r="Z7" s="24"/>
      <c r="AB7" s="8"/>
    </row>
    <row r="8" spans="1:28" ht="14.25" customHeight="1">
      <c r="A8" s="2">
        <v>16</v>
      </c>
      <c r="B8" s="1">
        <v>52</v>
      </c>
      <c r="C8" s="1">
        <v>5824.3269230769201</v>
      </c>
      <c r="D8" s="1"/>
      <c r="E8" s="1"/>
      <c r="F8" s="2"/>
      <c r="G8" s="2"/>
      <c r="H8" s="1">
        <v>18</v>
      </c>
      <c r="I8" s="1">
        <v>6272.7777777777801</v>
      </c>
      <c r="J8" s="1"/>
      <c r="K8" s="1"/>
      <c r="N8" s="20"/>
      <c r="S8" s="23"/>
      <c r="T8" s="23"/>
      <c r="U8" s="23"/>
      <c r="V8" s="23"/>
      <c r="W8" s="20"/>
      <c r="X8" s="25"/>
      <c r="Y8" s="24"/>
      <c r="Z8" s="24"/>
      <c r="AB8" s="8"/>
    </row>
    <row r="9" spans="1:28" ht="14.25" customHeight="1">
      <c r="A9" s="2">
        <v>17</v>
      </c>
      <c r="B9" s="1">
        <v>46</v>
      </c>
      <c r="C9" s="1">
        <v>5690.7608695652198</v>
      </c>
      <c r="D9" s="1"/>
      <c r="E9" s="1"/>
      <c r="F9" s="2"/>
      <c r="G9" s="2"/>
      <c r="H9" s="1">
        <v>23</v>
      </c>
      <c r="I9" s="1">
        <v>6467.1304347826099</v>
      </c>
      <c r="J9" s="1"/>
      <c r="K9" s="1"/>
      <c r="M9" s="22"/>
      <c r="N9" s="20"/>
      <c r="S9" s="23"/>
      <c r="T9" s="23"/>
      <c r="U9" s="23"/>
      <c r="V9" s="23"/>
      <c r="W9" s="20"/>
      <c r="X9" s="25"/>
      <c r="Y9" s="24"/>
      <c r="Z9" s="24"/>
      <c r="AB9" s="8"/>
    </row>
    <row r="10" spans="1:28" ht="14.25" customHeight="1">
      <c r="A10" s="2">
        <v>18</v>
      </c>
      <c r="B10" s="1">
        <v>43</v>
      </c>
      <c r="C10" s="1">
        <v>5918.9069767441897</v>
      </c>
      <c r="D10" s="1"/>
      <c r="E10" s="1"/>
      <c r="F10" s="2"/>
      <c r="G10" s="2"/>
      <c r="H10" s="1">
        <v>24</v>
      </c>
      <c r="I10" s="1">
        <v>6381.4166666666697</v>
      </c>
      <c r="J10" s="1"/>
      <c r="K10" s="1"/>
      <c r="N10" s="20"/>
      <c r="S10" s="23"/>
      <c r="T10" s="23"/>
      <c r="U10" s="23"/>
      <c r="V10" s="23"/>
      <c r="W10" s="20"/>
      <c r="X10" s="25"/>
      <c r="Y10" s="24"/>
      <c r="Z10" s="24"/>
      <c r="AB10" s="8"/>
    </row>
    <row r="11" spans="1:28" ht="14.25" customHeight="1">
      <c r="A11" s="2">
        <v>19</v>
      </c>
      <c r="B11" s="1">
        <v>46</v>
      </c>
      <c r="C11" s="1">
        <v>5716.3478260869597</v>
      </c>
      <c r="D11" s="1"/>
      <c r="E11" s="1"/>
      <c r="F11" s="2"/>
      <c r="G11" s="2"/>
      <c r="H11" s="1">
        <v>22</v>
      </c>
      <c r="I11" s="1">
        <v>6208.3181818181802</v>
      </c>
      <c r="J11" s="1"/>
      <c r="K11" s="1"/>
      <c r="N11" s="20"/>
      <c r="S11" s="23"/>
      <c r="T11" s="23"/>
      <c r="U11" s="23"/>
      <c r="V11" s="23"/>
      <c r="W11" s="20"/>
      <c r="X11" s="25"/>
      <c r="Y11" s="24"/>
      <c r="Z11" s="24"/>
      <c r="AB11" s="8"/>
    </row>
    <row r="12" spans="1:28" ht="14.25" customHeight="1" thickBot="1">
      <c r="A12" s="2">
        <v>20</v>
      </c>
      <c r="B12" s="1">
        <v>38</v>
      </c>
      <c r="C12" s="1">
        <v>5719.3157894736796</v>
      </c>
      <c r="D12" s="1"/>
      <c r="E12" s="1"/>
      <c r="F12" s="2"/>
      <c r="G12" s="2"/>
      <c r="H12" s="1">
        <v>27</v>
      </c>
      <c r="I12" s="1">
        <v>6395.4444444444398</v>
      </c>
      <c r="J12" s="1"/>
      <c r="K12" s="1"/>
      <c r="N12" s="20"/>
      <c r="S12" s="23"/>
      <c r="T12" s="23"/>
      <c r="U12" s="23"/>
      <c r="V12" s="23"/>
      <c r="W12" s="20"/>
      <c r="X12" s="25"/>
      <c r="Y12" s="24"/>
      <c r="Z12" s="24"/>
      <c r="AB12" s="8"/>
    </row>
    <row r="13" spans="1:28" ht="14.25" customHeight="1" thickBot="1">
      <c r="C13" s="4" t="s">
        <v>4</v>
      </c>
      <c r="E13" s="4" t="s">
        <v>0</v>
      </c>
      <c r="I13" s="4" t="s">
        <v>4</v>
      </c>
      <c r="K13" s="9" t="s">
        <v>0</v>
      </c>
      <c r="X13" s="25"/>
      <c r="Y13" s="24"/>
      <c r="Z13" s="24"/>
      <c r="AB13" s="8"/>
    </row>
    <row r="14" spans="1:28" ht="14.25" customHeight="1">
      <c r="C14" s="27">
        <f>SUM(C3:C12)/10</f>
        <v>5764.2726671586952</v>
      </c>
      <c r="D14" s="28"/>
      <c r="E14" s="27">
        <f>STDEV(C3:C12)</f>
        <v>107.87118429729549</v>
      </c>
      <c r="F14" s="28"/>
      <c r="G14" s="28"/>
      <c r="H14" s="28"/>
      <c r="I14" s="27">
        <f>SUM(I3:I12)/10</f>
        <v>6294.3717223724652</v>
      </c>
      <c r="J14" s="28"/>
      <c r="K14" s="27">
        <f>STDEV(I3:I12)</f>
        <v>108.23428228235002</v>
      </c>
      <c r="X14" s="25"/>
      <c r="Y14" s="24"/>
      <c r="Z14" s="24"/>
      <c r="AB14" s="8"/>
    </row>
    <row r="15" spans="1:28" ht="14.25" customHeight="1">
      <c r="C15" s="28"/>
      <c r="D15" s="28"/>
      <c r="E15" s="28"/>
      <c r="F15" s="28"/>
      <c r="G15" s="28"/>
      <c r="H15" s="28"/>
      <c r="I15" s="28"/>
      <c r="J15" s="28"/>
      <c r="K15" s="28"/>
      <c r="X15" s="25"/>
      <c r="Y15" s="24"/>
      <c r="Z15" s="24"/>
      <c r="AB15" s="8"/>
    </row>
    <row r="16" spans="1:28" ht="14.25" customHeight="1">
      <c r="X16" s="25"/>
      <c r="Y16" s="24"/>
      <c r="Z16" s="24"/>
      <c r="AB16" s="8"/>
    </row>
    <row r="17" spans="22:28" ht="14.25" customHeight="1">
      <c r="X17" s="25"/>
      <c r="Y17" s="24"/>
      <c r="Z17" s="24"/>
      <c r="AB17" s="8"/>
    </row>
    <row r="18" spans="22:28" ht="14.25" customHeight="1">
      <c r="X18" s="25"/>
      <c r="Y18" s="24"/>
      <c r="Z18" s="24"/>
      <c r="AB18" s="8"/>
    </row>
    <row r="19" spans="22:28" ht="14.25" customHeight="1">
      <c r="X19" s="25"/>
      <c r="Y19" s="24"/>
      <c r="Z19" s="24"/>
      <c r="AB19" s="8"/>
    </row>
    <row r="20" spans="22:28" ht="14.25" customHeight="1">
      <c r="X20" s="25"/>
      <c r="Y20" s="24"/>
      <c r="Z20" s="24"/>
      <c r="AB20" s="8"/>
    </row>
    <row r="21" spans="22:28" ht="14.25" customHeight="1">
      <c r="V21" s="25"/>
      <c r="W21" s="24"/>
      <c r="X21" s="24"/>
      <c r="Z21" s="24"/>
    </row>
    <row r="22" spans="22:28" ht="14.25" customHeight="1">
      <c r="V22" s="25"/>
      <c r="W22" s="24"/>
      <c r="X22" s="24"/>
      <c r="Z22" s="24"/>
    </row>
    <row r="23" spans="22:28" ht="14.25" customHeight="1">
      <c r="V23" s="25"/>
      <c r="W23" s="24"/>
      <c r="X23" s="24"/>
      <c r="Z23" s="24"/>
    </row>
    <row r="24" spans="22:28" ht="14.25" customHeight="1">
      <c r="W24" s="25"/>
      <c r="X24" s="24"/>
      <c r="Y24" s="24"/>
      <c r="Z24" s="24"/>
    </row>
    <row r="25" spans="22:28" ht="14.25" customHeight="1">
      <c r="W25" s="25"/>
      <c r="X25" s="24"/>
      <c r="Y25" s="24"/>
      <c r="Z25" s="24"/>
    </row>
    <row r="26" spans="22:28" ht="14.25" customHeight="1">
      <c r="W26" s="25"/>
      <c r="X26" s="24"/>
      <c r="Y26" s="24"/>
      <c r="Z26" s="24"/>
    </row>
    <row r="27" spans="22:28" ht="14.25" customHeight="1">
      <c r="W27" s="25"/>
      <c r="X27" s="24"/>
      <c r="Y27" s="24"/>
      <c r="Z27" s="24"/>
    </row>
    <row r="28" spans="22:28" ht="14.25" customHeight="1">
      <c r="W28" s="25"/>
      <c r="X28" s="24"/>
      <c r="Y28" s="24"/>
      <c r="Z28" s="24"/>
    </row>
    <row r="29" spans="22:28" ht="14.25" customHeight="1">
      <c r="W29" s="25"/>
      <c r="X29" s="24"/>
      <c r="Y29" s="24"/>
      <c r="Z29" s="24"/>
    </row>
    <row r="30" spans="22:28" ht="14.25" customHeight="1">
      <c r="W30" s="25"/>
      <c r="X30" s="24"/>
      <c r="Y30" s="24"/>
      <c r="Z30" s="24"/>
    </row>
    <row r="31" spans="22:28" ht="14.25" customHeight="1">
      <c r="W31" s="25"/>
      <c r="X31" s="24"/>
      <c r="Y31" s="24"/>
      <c r="Z31" s="24"/>
    </row>
    <row r="32" spans="22:28" ht="14.25" customHeight="1">
      <c r="W32" s="25"/>
      <c r="X32" s="24"/>
      <c r="Y32" s="24"/>
      <c r="Z32" s="24"/>
    </row>
    <row r="33" spans="23:26" ht="14.25" customHeight="1">
      <c r="W33" s="25"/>
      <c r="X33" s="24"/>
      <c r="Y33" s="24"/>
      <c r="Z33" s="24"/>
    </row>
    <row r="34" spans="23:26" ht="14.25" customHeight="1">
      <c r="W34" s="25"/>
      <c r="X34" s="24"/>
      <c r="Y34" s="24"/>
      <c r="Z34" s="24"/>
    </row>
    <row r="35" spans="23:26" ht="14.25" customHeight="1">
      <c r="W35" s="25"/>
      <c r="X35" s="24"/>
      <c r="Y35" s="24"/>
      <c r="Z35" s="24"/>
    </row>
    <row r="36" spans="23:26" ht="14.25" customHeight="1">
      <c r="W36" s="25"/>
      <c r="X36" s="24"/>
      <c r="Y36" s="24"/>
      <c r="Z36" s="24"/>
    </row>
    <row r="37" spans="23:26" ht="14.25" customHeight="1">
      <c r="W37" s="25"/>
      <c r="X37" s="24"/>
      <c r="Y37" s="24"/>
      <c r="Z37" s="24"/>
    </row>
    <row r="38" spans="23:26" ht="14.25" customHeight="1">
      <c r="W38" s="25"/>
      <c r="X38" s="24"/>
      <c r="Y38" s="24"/>
      <c r="Z38" s="24"/>
    </row>
    <row r="39" spans="23:26" ht="14.25" customHeight="1">
      <c r="W39" s="25"/>
      <c r="X39" s="24"/>
      <c r="Y39" s="24"/>
      <c r="Z39" s="24"/>
    </row>
    <row r="40" spans="23:26" ht="14.25" customHeight="1">
      <c r="W40" s="25"/>
      <c r="X40" s="24"/>
      <c r="Y40" s="24"/>
      <c r="Z40" s="24"/>
    </row>
    <row r="41" spans="23:26" ht="14.25" customHeight="1">
      <c r="W41" s="25"/>
      <c r="X41" s="24"/>
      <c r="Y41" s="24"/>
      <c r="Z41" s="24"/>
    </row>
    <row r="42" spans="23:26" ht="14.25" customHeight="1">
      <c r="W42" s="25"/>
      <c r="X42" s="24"/>
      <c r="Y42" s="24"/>
      <c r="Z42" s="24"/>
    </row>
    <row r="43" spans="23:26" ht="14.25" customHeight="1">
      <c r="W43" s="25"/>
      <c r="X43" s="24"/>
      <c r="Y43" s="24"/>
      <c r="Z43" s="24"/>
    </row>
    <row r="44" spans="23:26" ht="14.25" customHeight="1">
      <c r="W44" s="25"/>
      <c r="X44" s="24"/>
      <c r="Y44" s="24"/>
      <c r="Z44" s="24"/>
    </row>
    <row r="45" spans="23:26" ht="14.25" customHeight="1">
      <c r="W45" s="25"/>
      <c r="X45" s="24"/>
      <c r="Y45" s="24"/>
      <c r="Z45" s="24"/>
    </row>
    <row r="46" spans="23:26" ht="14.25" customHeight="1">
      <c r="W46" s="25"/>
      <c r="X46" s="24"/>
      <c r="Y46" s="24"/>
      <c r="Z46" s="24"/>
    </row>
    <row r="47" spans="23:26" ht="14.25" customHeight="1">
      <c r="W47" s="25"/>
      <c r="X47" s="24"/>
      <c r="Y47" s="24"/>
      <c r="Z47" s="24"/>
    </row>
    <row r="48" spans="23:26" ht="14.25" customHeight="1">
      <c r="W48" s="25"/>
      <c r="X48" s="24"/>
      <c r="Y48" s="24"/>
      <c r="Z48" s="24"/>
    </row>
    <row r="49" spans="23:26" ht="14.25" customHeight="1">
      <c r="W49" s="25"/>
      <c r="X49" s="24"/>
      <c r="Y49" s="24"/>
      <c r="Z49" s="24"/>
    </row>
    <row r="50" spans="23:26" ht="14.25" customHeight="1">
      <c r="W50" s="25"/>
      <c r="X50" s="24"/>
      <c r="Y50" s="24"/>
      <c r="Z50" s="24"/>
    </row>
    <row r="51" spans="23:26" ht="14.25" customHeight="1"/>
    <row r="52" spans="23:26" ht="14.25" customHeight="1"/>
    <row r="53" spans="23:26" ht="14.25" customHeight="1"/>
    <row r="54" spans="23:26" ht="14.25" customHeight="1"/>
    <row r="55" spans="23:26" ht="14.25" customHeight="1"/>
    <row r="56" spans="23:26" ht="14.25" customHeight="1"/>
    <row r="57" spans="23:26" ht="14.25" customHeight="1"/>
    <row r="58" spans="23:26" ht="14.25" customHeight="1"/>
    <row r="59" spans="23:26" ht="14.25" customHeight="1"/>
    <row r="60" spans="23:26" ht="14.25" customHeight="1"/>
    <row r="61" spans="23:26" ht="14.25" customHeight="1"/>
    <row r="62" spans="23:26" ht="14.25" customHeight="1"/>
    <row r="63" spans="23:26" ht="14.25" customHeight="1"/>
    <row r="64" spans="23:2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M1_Initial_training_stage</vt:lpstr>
      <vt:lpstr>M2_Initial_training_stage</vt:lpstr>
      <vt:lpstr>M3_Initial_training_stage</vt:lpstr>
      <vt:lpstr>M1_Final_training_stage</vt:lpstr>
      <vt:lpstr>M2_Final_training_stage</vt:lpstr>
      <vt:lpstr>M3_Final_training_stage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Firmino Rodrigues Neto mascote</dc:creator>
  <cp:lastModifiedBy>***</cp:lastModifiedBy>
  <dcterms:created xsi:type="dcterms:W3CDTF">2023-04-20T23:38:08Z</dcterms:created>
  <dcterms:modified xsi:type="dcterms:W3CDTF">2026-01-24T17:52:02Z</dcterms:modified>
</cp:coreProperties>
</file>