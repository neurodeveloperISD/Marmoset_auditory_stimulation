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edmorya\Documents\Firmino\paper_final\"/>
    </mc:Choice>
  </mc:AlternateContent>
  <bookViews>
    <workbookView xWindow="0" yWindow="0" windowWidth="14340" windowHeight="8685" activeTab="3"/>
  </bookViews>
  <sheets>
    <sheet name="Inital training stage" sheetId="4" r:id="rId1"/>
    <sheet name="Final training stage" sheetId="5" r:id="rId2"/>
    <sheet name="Left x Right" sheetId="2" r:id="rId3"/>
    <sheet name="After correct x After error" sheetId="1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9" roundtripDataChecksum="Uy7p/JopXedImrQAz3nHs/eZB4weThmZWA2pe+SQrBA="/>
    </ext>
  </extLst>
</workbook>
</file>

<file path=xl/calcChain.xml><?xml version="1.0" encoding="utf-8"?>
<calcChain xmlns="http://schemas.openxmlformats.org/spreadsheetml/2006/main">
  <c r="H34" i="5" l="1"/>
  <c r="F34" i="5"/>
  <c r="V5" i="1"/>
  <c r="V4" i="1"/>
  <c r="V3" i="1"/>
  <c r="S5" i="1"/>
  <c r="S4" i="1"/>
  <c r="S3" i="1"/>
  <c r="G34" i="5"/>
  <c r="E34" i="5"/>
  <c r="H31" i="5"/>
  <c r="F31" i="5"/>
  <c r="H21" i="5"/>
  <c r="F21" i="5"/>
  <c r="H11" i="5"/>
  <c r="F11" i="5"/>
  <c r="I33" i="4"/>
  <c r="F33" i="4"/>
  <c r="I31" i="4"/>
  <c r="F31" i="4"/>
  <c r="I21" i="4"/>
  <c r="F21" i="4"/>
  <c r="I11" i="4"/>
  <c r="F11" i="4"/>
  <c r="I31" i="2"/>
  <c r="G31" i="2"/>
  <c r="I30" i="2"/>
  <c r="G30" i="2"/>
  <c r="I29" i="2"/>
  <c r="G29" i="2"/>
  <c r="I28" i="2"/>
  <c r="G28" i="2"/>
  <c r="I27" i="2"/>
  <c r="G27" i="2"/>
  <c r="I26" i="2"/>
  <c r="G26" i="2"/>
  <c r="I25" i="2"/>
  <c r="G25" i="2"/>
  <c r="I24" i="2"/>
  <c r="Q5" i="2" s="1"/>
  <c r="G24" i="2"/>
  <c r="I23" i="2"/>
  <c r="G23" i="2"/>
  <c r="O5" i="2" s="1"/>
  <c r="I22" i="2"/>
  <c r="G22" i="2"/>
  <c r="I21" i="2"/>
  <c r="G21" i="2"/>
  <c r="I20" i="2"/>
  <c r="G20" i="2"/>
  <c r="I19" i="2"/>
  <c r="G19" i="2"/>
  <c r="I18" i="2"/>
  <c r="G18" i="2"/>
  <c r="I17" i="2"/>
  <c r="G17" i="2"/>
  <c r="I16" i="2"/>
  <c r="G16" i="2"/>
  <c r="I15" i="2"/>
  <c r="G15" i="2"/>
  <c r="I14" i="2"/>
  <c r="G14" i="2"/>
  <c r="I13" i="2"/>
  <c r="G13" i="2"/>
  <c r="O4" i="2" s="1"/>
  <c r="I12" i="2"/>
  <c r="P4" i="2" s="1"/>
  <c r="G12" i="2"/>
  <c r="I11" i="2"/>
  <c r="G11" i="2"/>
  <c r="I10" i="2"/>
  <c r="G10" i="2"/>
  <c r="I9" i="2"/>
  <c r="G9" i="2"/>
  <c r="I8" i="2"/>
  <c r="G8" i="2"/>
  <c r="I7" i="2"/>
  <c r="G7" i="2"/>
  <c r="I6" i="2"/>
  <c r="G6" i="2"/>
  <c r="I5" i="2"/>
  <c r="G5" i="2"/>
  <c r="N4" i="2"/>
  <c r="I4" i="2"/>
  <c r="P3" i="2" s="1"/>
  <c r="G4" i="2"/>
  <c r="I3" i="2"/>
  <c r="G3" i="2"/>
  <c r="I2" i="2"/>
  <c r="Q3" i="2" s="1"/>
  <c r="G2" i="2"/>
  <c r="O3" i="2" s="1"/>
  <c r="P5" i="2" l="1"/>
  <c r="Q4" i="2"/>
  <c r="N3" i="2"/>
  <c r="N5" i="2"/>
</calcChain>
</file>

<file path=xl/sharedStrings.xml><?xml version="1.0" encoding="utf-8"?>
<sst xmlns="http://schemas.openxmlformats.org/spreadsheetml/2006/main" count="345" uniqueCount="78">
  <si>
    <t>animal</t>
  </si>
  <si>
    <t>session</t>
  </si>
  <si>
    <t>M1</t>
  </si>
  <si>
    <t>SD</t>
  </si>
  <si>
    <t>P</t>
  </si>
  <si>
    <t>M2</t>
  </si>
  <si>
    <t>M3</t>
  </si>
  <si>
    <t>11</t>
  </si>
  <si>
    <t>52</t>
  </si>
  <si>
    <t>55</t>
  </si>
  <si>
    <t>30</t>
  </si>
  <si>
    <t>41</t>
  </si>
  <si>
    <t>12</t>
  </si>
  <si>
    <t>51</t>
  </si>
  <si>
    <t>54</t>
  </si>
  <si>
    <t>34</t>
  </si>
  <si>
    <t>32</t>
  </si>
  <si>
    <t>.878</t>
  </si>
  <si>
    <t>13</t>
  </si>
  <si>
    <t>49</t>
  </si>
  <si>
    <t>.445</t>
  </si>
  <si>
    <t>14</t>
  </si>
  <si>
    <t>44</t>
  </si>
  <si>
    <t>.028</t>
  </si>
  <si>
    <t>15</t>
  </si>
  <si>
    <t>53</t>
  </si>
  <si>
    <t>35</t>
  </si>
  <si>
    <t>29</t>
  </si>
  <si>
    <t>16</t>
  </si>
  <si>
    <t>47</t>
  </si>
  <si>
    <t>17</t>
  </si>
  <si>
    <t>37</t>
  </si>
  <si>
    <t>40</t>
  </si>
  <si>
    <t>23</t>
  </si>
  <si>
    <t>28</t>
  </si>
  <si>
    <t>18</t>
  </si>
  <si>
    <t>19</t>
  </si>
  <si>
    <t>56</t>
  </si>
  <si>
    <t>38</t>
  </si>
  <si>
    <t>20</t>
  </si>
  <si>
    <t>24</t>
  </si>
  <si>
    <t>46</t>
  </si>
  <si>
    <t>36</t>
  </si>
  <si>
    <t>45</t>
  </si>
  <si>
    <t>42</t>
  </si>
  <si>
    <t>25</t>
  </si>
  <si>
    <t>31</t>
  </si>
  <si>
    <t>27</t>
  </si>
  <si>
    <t>39</t>
  </si>
  <si>
    <t>33</t>
  </si>
  <si>
    <t>22</t>
  </si>
  <si>
    <t>26</t>
  </si>
  <si>
    <t>21</t>
  </si>
  <si>
    <t>Soma total</t>
  </si>
  <si>
    <t>after correct</t>
  </si>
  <si>
    <t>after erro</t>
  </si>
  <si>
    <t>total correct</t>
  </si>
  <si>
    <t>total erros</t>
  </si>
  <si>
    <t>% after correct</t>
  </si>
  <si>
    <t>% after erro</t>
  </si>
  <si>
    <t>Mean</t>
  </si>
  <si>
    <t>Number of Phee by session</t>
  </si>
  <si>
    <t>Number of Trills by session</t>
  </si>
  <si>
    <t>Number of correct choices to the left</t>
  </si>
  <si>
    <t>Number of correct choices to the right</t>
  </si>
  <si>
    <t>%l accuracy to left</t>
  </si>
  <si>
    <t>% accuracy to right</t>
  </si>
  <si>
    <t>total incorrect</t>
  </si>
  <si>
    <t>SD correct</t>
  </si>
  <si>
    <t>% correct (accuracy)</t>
  </si>
  <si>
    <t>% incorrect</t>
  </si>
  <si>
    <t>SD incorrect</t>
  </si>
  <si>
    <t>Mean of group</t>
  </si>
  <si>
    <t>Total sum</t>
  </si>
  <si>
    <t>Sum of correct attempts</t>
  </si>
  <si>
    <t>Sum of incorrect attempts</t>
  </si>
  <si>
    <t>Average proportion of correct attempts</t>
  </si>
  <si>
    <t>Average proportion of incorrect attempts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</si>
</sst>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rgb="FFFF0000"/>
      <name val="Calibri"/>
    </font>
    <font>
      <sz val="11"/>
      <color rgb="FF000000"/>
      <name val="Calibri"/>
    </font>
    <font>
      <b/>
      <sz val="11"/>
      <color rgb="FF000000"/>
      <name val="Calibri"/>
    </font>
    <font>
      <sz val="11"/>
      <color rgb="FFFF0000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FFFF"/>
        <bgColor rgb="FF00FFF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49" fontId="3" fillId="0" borderId="0" xfId="0" applyNumberFormat="1" applyFont="1" applyAlignment="1"/>
    <xf numFmtId="49" fontId="3" fillId="0" borderId="0" xfId="0" applyNumberFormat="1" applyFont="1" applyAlignment="1"/>
    <xf numFmtId="49" fontId="1" fillId="0" borderId="0" xfId="0" applyNumberFormat="1" applyFont="1"/>
    <xf numFmtId="49" fontId="3" fillId="0" borderId="0" xfId="0" applyNumberFormat="1" applyFont="1" applyAlignment="1">
      <alignment horizontal="right"/>
    </xf>
    <xf numFmtId="49" fontId="2" fillId="0" borderId="0" xfId="0" applyNumberFormat="1" applyFont="1" applyAlignment="1">
      <alignment horizontal="right"/>
    </xf>
    <xf numFmtId="49" fontId="4" fillId="0" borderId="0" xfId="0" applyNumberFormat="1" applyFont="1" applyAlignment="1">
      <alignment horizontal="right"/>
    </xf>
    <xf numFmtId="49" fontId="5" fillId="0" borderId="0" xfId="0" applyNumberFormat="1" applyFont="1"/>
    <xf numFmtId="0" fontId="3" fillId="0" borderId="0" xfId="0" applyFont="1" applyAlignment="1"/>
    <xf numFmtId="0" fontId="1" fillId="0" borderId="0" xfId="0" applyFont="1" applyAlignment="1"/>
    <xf numFmtId="0" fontId="1" fillId="0" borderId="0" xfId="0" applyFont="1"/>
    <xf numFmtId="0" fontId="3" fillId="0" borderId="0" xfId="0" applyFont="1" applyAlignment="1">
      <alignment horizontal="right"/>
    </xf>
    <xf numFmtId="0" fontId="3" fillId="0" borderId="0" xfId="0" applyFont="1" applyAlignment="1"/>
    <xf numFmtId="0" fontId="3" fillId="2" borderId="0" xfId="0" applyFont="1" applyFill="1" applyAlignment="1">
      <alignment horizontal="right"/>
    </xf>
    <xf numFmtId="0" fontId="3" fillId="0" borderId="0" xfId="0" applyFont="1" applyAlignment="1"/>
    <xf numFmtId="0" fontId="3" fillId="2" borderId="0" xfId="0" applyFont="1" applyFill="1" applyAlignment="1"/>
    <xf numFmtId="0" fontId="1" fillId="2" borderId="0" xfId="0" applyFont="1" applyFill="1"/>
    <xf numFmtId="49" fontId="3" fillId="3" borderId="0" xfId="0" applyNumberFormat="1" applyFont="1" applyFill="1" applyAlignment="1">
      <alignment horizontal="right"/>
    </xf>
    <xf numFmtId="49" fontId="3" fillId="4" borderId="0" xfId="0" applyNumberFormat="1" applyFont="1" applyFill="1" applyAlignment="1">
      <alignment horizontal="right"/>
    </xf>
    <xf numFmtId="0" fontId="3" fillId="0" borderId="0" xfId="0" applyFont="1" applyAlignment="1"/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V1000"/>
  <sheetViews>
    <sheetView workbookViewId="0">
      <selection activeCell="H1" sqref="H1"/>
    </sheetView>
  </sheetViews>
  <sheetFormatPr defaultColWidth="14.5" defaultRowHeight="15" customHeight="1"/>
  <cols>
    <col min="5" max="5" width="23.625" customWidth="1"/>
    <col min="6" max="6" width="20.625" customWidth="1"/>
    <col min="9" max="9" width="35.875" customWidth="1"/>
    <col min="11" max="11" width="28.625" customWidth="1"/>
    <col min="12" max="12" width="27.5" customWidth="1"/>
    <col min="13" max="13" width="25.875" customWidth="1"/>
    <col min="14" max="14" width="33.875" customWidth="1"/>
    <col min="15" max="15" width="32.375" customWidth="1"/>
  </cols>
  <sheetData>
    <row r="1" spans="1:22" ht="15" customHeight="1">
      <c r="A1" s="10" t="s">
        <v>0</v>
      </c>
      <c r="B1" s="10" t="s">
        <v>1</v>
      </c>
      <c r="C1" s="10" t="s">
        <v>56</v>
      </c>
      <c r="D1" s="10" t="s">
        <v>67</v>
      </c>
      <c r="E1" s="10" t="s">
        <v>69</v>
      </c>
      <c r="F1" s="21" t="s">
        <v>68</v>
      </c>
      <c r="G1" s="22"/>
      <c r="H1" s="11" t="s">
        <v>70</v>
      </c>
      <c r="I1" s="11" t="s">
        <v>71</v>
      </c>
      <c r="J1" s="12"/>
      <c r="K1" s="11" t="s">
        <v>74</v>
      </c>
      <c r="L1" s="11" t="s">
        <v>75</v>
      </c>
      <c r="M1" s="11" t="s">
        <v>76</v>
      </c>
      <c r="N1" s="12"/>
      <c r="O1" s="16" t="s">
        <v>77</v>
      </c>
      <c r="P1" s="10"/>
      <c r="Q1" s="12"/>
      <c r="R1" s="12"/>
      <c r="S1" s="12"/>
      <c r="T1" s="12"/>
      <c r="U1" s="12"/>
      <c r="V1" s="12"/>
    </row>
    <row r="2" spans="1:22" ht="15" customHeight="1">
      <c r="A2" s="10" t="s">
        <v>2</v>
      </c>
      <c r="B2" s="13">
        <v>1</v>
      </c>
      <c r="C2" s="13">
        <v>31</v>
      </c>
      <c r="D2" s="13">
        <v>24</v>
      </c>
      <c r="E2" s="13">
        <v>0.56363636399999995</v>
      </c>
      <c r="F2" s="13"/>
      <c r="G2" s="14"/>
      <c r="H2" s="13">
        <v>0.436363636</v>
      </c>
      <c r="I2" s="13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</row>
    <row r="3" spans="1:22" ht="15" customHeight="1">
      <c r="A3" s="10" t="s">
        <v>2</v>
      </c>
      <c r="B3" s="13">
        <v>2</v>
      </c>
      <c r="C3" s="13">
        <v>32</v>
      </c>
      <c r="D3" s="13">
        <v>25</v>
      </c>
      <c r="E3" s="13">
        <v>0.56140350900000002</v>
      </c>
      <c r="F3" s="13"/>
      <c r="G3" s="14"/>
      <c r="H3" s="13">
        <v>0.43859649099999998</v>
      </c>
      <c r="I3" s="13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</row>
    <row r="4" spans="1:22" ht="15" customHeight="1">
      <c r="A4" s="10" t="s">
        <v>2</v>
      </c>
      <c r="B4" s="13">
        <v>3</v>
      </c>
      <c r="C4" s="13">
        <v>26</v>
      </c>
      <c r="D4" s="13">
        <v>23</v>
      </c>
      <c r="E4" s="13">
        <v>0.53061224500000004</v>
      </c>
      <c r="F4" s="13"/>
      <c r="G4" s="14"/>
      <c r="H4" s="13">
        <v>0.46938775500000002</v>
      </c>
      <c r="I4" s="13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</row>
    <row r="5" spans="1:22" ht="15" customHeight="1">
      <c r="A5" s="10" t="s">
        <v>2</v>
      </c>
      <c r="B5" s="13">
        <v>4</v>
      </c>
      <c r="C5" s="13">
        <v>29</v>
      </c>
      <c r="D5" s="13">
        <v>23</v>
      </c>
      <c r="E5" s="13">
        <v>0.55769230800000003</v>
      </c>
      <c r="F5" s="13"/>
      <c r="G5" s="14"/>
      <c r="H5" s="13">
        <v>0.44230769199999997</v>
      </c>
      <c r="I5" s="13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</row>
    <row r="6" spans="1:22" ht="15" customHeight="1">
      <c r="A6" s="10" t="s">
        <v>2</v>
      </c>
      <c r="B6" s="13">
        <v>5</v>
      </c>
      <c r="C6" s="13">
        <v>37</v>
      </c>
      <c r="D6" s="13">
        <v>24</v>
      </c>
      <c r="E6" s="13">
        <v>0.60655737700000001</v>
      </c>
      <c r="F6" s="13"/>
      <c r="G6" s="14"/>
      <c r="H6" s="13">
        <v>0.39344262299999999</v>
      </c>
      <c r="I6" s="13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</row>
    <row r="7" spans="1:22" ht="15" customHeight="1">
      <c r="A7" s="10" t="s">
        <v>2</v>
      </c>
      <c r="B7" s="13">
        <v>6</v>
      </c>
      <c r="C7" s="13">
        <v>29</v>
      </c>
      <c r="D7" s="13">
        <v>27</v>
      </c>
      <c r="E7" s="13">
        <v>0.51785714299999996</v>
      </c>
      <c r="F7" s="13"/>
      <c r="G7" s="14"/>
      <c r="H7" s="13">
        <v>0.48214285699999998</v>
      </c>
      <c r="I7" s="13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</row>
    <row r="8" spans="1:22" ht="15" customHeight="1">
      <c r="A8" s="10" t="s">
        <v>2</v>
      </c>
      <c r="B8" s="13">
        <v>7</v>
      </c>
      <c r="C8" s="13">
        <v>31</v>
      </c>
      <c r="D8" s="13">
        <v>27</v>
      </c>
      <c r="E8" s="13">
        <v>0.53448275899999997</v>
      </c>
      <c r="F8" s="13"/>
      <c r="G8" s="14"/>
      <c r="H8" s="13">
        <v>0.46551724100000003</v>
      </c>
      <c r="I8" s="13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</row>
    <row r="9" spans="1:22" ht="15" customHeight="1">
      <c r="A9" s="10" t="s">
        <v>2</v>
      </c>
      <c r="B9" s="13">
        <v>8</v>
      </c>
      <c r="C9" s="13">
        <v>48</v>
      </c>
      <c r="D9" s="13">
        <v>22</v>
      </c>
      <c r="E9" s="13">
        <v>0.68571428599999995</v>
      </c>
      <c r="F9" s="13"/>
      <c r="G9" s="14"/>
      <c r="H9" s="13">
        <v>0.31428571399999999</v>
      </c>
      <c r="I9" s="13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</row>
    <row r="10" spans="1:22" ht="15" customHeight="1">
      <c r="A10" s="10" t="s">
        <v>2</v>
      </c>
      <c r="B10" s="13">
        <v>9</v>
      </c>
      <c r="C10" s="13">
        <v>31</v>
      </c>
      <c r="D10" s="13">
        <v>21</v>
      </c>
      <c r="E10" s="13">
        <v>0.59615384599999999</v>
      </c>
      <c r="F10" s="13"/>
      <c r="G10" s="14"/>
      <c r="H10" s="13">
        <v>0.40384615400000001</v>
      </c>
      <c r="I10" s="13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</row>
    <row r="11" spans="1:22" ht="15" customHeight="1">
      <c r="A11" s="10" t="s">
        <v>2</v>
      </c>
      <c r="B11" s="13">
        <v>10</v>
      </c>
      <c r="C11" s="13">
        <v>37</v>
      </c>
      <c r="D11" s="13">
        <v>24</v>
      </c>
      <c r="E11" s="13">
        <v>0.60655737700000001</v>
      </c>
      <c r="F11" s="15">
        <f>STDEV(E2:E11)</f>
        <v>4.9639001441747821E-2</v>
      </c>
      <c r="G11" s="14"/>
      <c r="H11" s="13">
        <v>0.39344262299999999</v>
      </c>
      <c r="I11" s="15">
        <f>STDEV(H2:H11)</f>
        <v>4.9639001441747696E-2</v>
      </c>
      <c r="J11" s="11" t="s">
        <v>2</v>
      </c>
      <c r="K11" s="11">
        <v>331</v>
      </c>
      <c r="L11" s="11">
        <v>240</v>
      </c>
      <c r="M11" s="13">
        <v>0.576067</v>
      </c>
      <c r="N11" s="13"/>
      <c r="O11" s="13">
        <v>0.423933</v>
      </c>
      <c r="P11" s="13"/>
      <c r="Q11" s="12"/>
      <c r="R11" s="12"/>
      <c r="S11" s="12"/>
      <c r="T11" s="12"/>
      <c r="U11" s="12"/>
      <c r="V11" s="12"/>
    </row>
    <row r="12" spans="1:22" ht="15" customHeight="1">
      <c r="A12" s="10" t="s">
        <v>5</v>
      </c>
      <c r="B12" s="13">
        <v>1</v>
      </c>
      <c r="C12" s="13">
        <v>9</v>
      </c>
      <c r="D12" s="13">
        <v>15</v>
      </c>
      <c r="E12" s="13">
        <v>0.375</v>
      </c>
      <c r="F12" s="13"/>
      <c r="G12" s="14"/>
      <c r="H12" s="13">
        <v>0.625</v>
      </c>
      <c r="I12" s="13"/>
      <c r="J12" s="12"/>
      <c r="K12" s="12"/>
      <c r="L12" s="12"/>
      <c r="M12" s="12"/>
      <c r="N12" s="12"/>
      <c r="O12" s="14"/>
      <c r="P12" s="14"/>
      <c r="Q12" s="12"/>
      <c r="R12" s="12"/>
      <c r="S12" s="12"/>
      <c r="T12" s="12"/>
      <c r="U12" s="12"/>
      <c r="V12" s="12"/>
    </row>
    <row r="13" spans="1:22" ht="15" customHeight="1">
      <c r="A13" s="10" t="s">
        <v>5</v>
      </c>
      <c r="B13" s="13">
        <v>2</v>
      </c>
      <c r="C13" s="13">
        <v>13</v>
      </c>
      <c r="D13" s="13">
        <v>18</v>
      </c>
      <c r="E13" s="13">
        <v>0.41935483899999998</v>
      </c>
      <c r="F13" s="13"/>
      <c r="G13" s="14"/>
      <c r="H13" s="13">
        <v>0.58064516099999997</v>
      </c>
      <c r="I13" s="13"/>
      <c r="J13" s="12"/>
      <c r="K13" s="12"/>
      <c r="L13" s="12"/>
      <c r="M13" s="12"/>
      <c r="N13" s="12"/>
      <c r="O13" s="14"/>
      <c r="P13" s="14"/>
      <c r="Q13" s="12"/>
      <c r="R13" s="12"/>
      <c r="S13" s="12"/>
      <c r="T13" s="12"/>
      <c r="U13" s="12"/>
      <c r="V13" s="12"/>
    </row>
    <row r="14" spans="1:22" ht="15" customHeight="1">
      <c r="A14" s="10" t="s">
        <v>5</v>
      </c>
      <c r="B14" s="13">
        <v>3</v>
      </c>
      <c r="C14" s="13">
        <v>8</v>
      </c>
      <c r="D14" s="13">
        <v>12</v>
      </c>
      <c r="E14" s="13">
        <v>0.4</v>
      </c>
      <c r="F14" s="13"/>
      <c r="G14" s="14"/>
      <c r="H14" s="13">
        <v>0.6</v>
      </c>
      <c r="I14" s="13"/>
      <c r="J14" s="12"/>
      <c r="K14" s="12"/>
      <c r="L14" s="12"/>
      <c r="M14" s="12"/>
      <c r="N14" s="12"/>
      <c r="O14" s="14"/>
      <c r="P14" s="14"/>
      <c r="Q14" s="12"/>
      <c r="R14" s="12"/>
      <c r="S14" s="12"/>
      <c r="T14" s="12"/>
      <c r="U14" s="12"/>
      <c r="V14" s="12"/>
    </row>
    <row r="15" spans="1:22" ht="15" customHeight="1">
      <c r="A15" s="10" t="s">
        <v>5</v>
      </c>
      <c r="B15" s="13">
        <v>4</v>
      </c>
      <c r="C15" s="13">
        <v>10</v>
      </c>
      <c r="D15" s="13">
        <v>19</v>
      </c>
      <c r="E15" s="13">
        <v>0.34482758600000002</v>
      </c>
      <c r="F15" s="13"/>
      <c r="G15" s="14"/>
      <c r="H15" s="13">
        <v>0.65517241400000004</v>
      </c>
      <c r="I15" s="13"/>
      <c r="J15" s="12"/>
      <c r="K15" s="12"/>
      <c r="L15" s="12"/>
      <c r="M15" s="12"/>
      <c r="N15" s="12"/>
      <c r="O15" s="14"/>
      <c r="P15" s="14"/>
      <c r="Q15" s="12"/>
      <c r="R15" s="12"/>
      <c r="S15" s="12"/>
      <c r="T15" s="12"/>
      <c r="U15" s="12"/>
      <c r="V15" s="12"/>
    </row>
    <row r="16" spans="1:22" ht="15" customHeight="1">
      <c r="A16" s="10" t="s">
        <v>5</v>
      </c>
      <c r="B16" s="13">
        <v>5</v>
      </c>
      <c r="C16" s="13">
        <v>7</v>
      </c>
      <c r="D16" s="13">
        <v>16</v>
      </c>
      <c r="E16" s="13">
        <v>0.30434782599999999</v>
      </c>
      <c r="F16" s="13"/>
      <c r="G16" s="14"/>
      <c r="H16" s="13">
        <v>0.69565217400000001</v>
      </c>
      <c r="I16" s="13"/>
      <c r="J16" s="12"/>
      <c r="K16" s="12"/>
      <c r="L16" s="12"/>
      <c r="M16" s="12"/>
      <c r="N16" s="12"/>
      <c r="O16" s="14"/>
      <c r="P16" s="14"/>
      <c r="Q16" s="12"/>
      <c r="R16" s="12"/>
      <c r="S16" s="12"/>
      <c r="T16" s="12"/>
      <c r="U16" s="12"/>
      <c r="V16" s="12"/>
    </row>
    <row r="17" spans="1:22" ht="15" customHeight="1">
      <c r="A17" s="10" t="s">
        <v>5</v>
      </c>
      <c r="B17" s="13">
        <v>6</v>
      </c>
      <c r="C17" s="13">
        <v>12</v>
      </c>
      <c r="D17" s="13">
        <v>18</v>
      </c>
      <c r="E17" s="13">
        <v>0.4</v>
      </c>
      <c r="F17" s="13"/>
      <c r="G17" s="14"/>
      <c r="H17" s="13">
        <v>0.6</v>
      </c>
      <c r="I17" s="13"/>
      <c r="J17" s="12"/>
      <c r="K17" s="12"/>
      <c r="L17" s="12"/>
      <c r="M17" s="12"/>
      <c r="N17" s="12"/>
      <c r="O17" s="14"/>
      <c r="P17" s="14"/>
      <c r="Q17" s="12"/>
      <c r="R17" s="12"/>
      <c r="S17" s="12"/>
      <c r="T17" s="12"/>
      <c r="U17" s="12"/>
      <c r="V17" s="12"/>
    </row>
    <row r="18" spans="1:22" ht="15" customHeight="1">
      <c r="A18" s="10" t="s">
        <v>5</v>
      </c>
      <c r="B18" s="13">
        <v>7</v>
      </c>
      <c r="C18" s="13">
        <v>6</v>
      </c>
      <c r="D18" s="13">
        <v>8</v>
      </c>
      <c r="E18" s="13">
        <v>0.428571429</v>
      </c>
      <c r="F18" s="13"/>
      <c r="G18" s="14"/>
      <c r="H18" s="13">
        <v>0.571428571</v>
      </c>
      <c r="I18" s="13"/>
      <c r="J18" s="12"/>
      <c r="K18" s="12"/>
      <c r="L18" s="12"/>
      <c r="M18" s="12"/>
      <c r="N18" s="12"/>
      <c r="O18" s="14"/>
      <c r="P18" s="14"/>
      <c r="Q18" s="12"/>
      <c r="R18" s="12"/>
      <c r="S18" s="12"/>
      <c r="T18" s="12"/>
      <c r="U18" s="12"/>
      <c r="V18" s="12"/>
    </row>
    <row r="19" spans="1:22" ht="15" customHeight="1">
      <c r="A19" s="10" t="s">
        <v>5</v>
      </c>
      <c r="B19" s="13">
        <v>8</v>
      </c>
      <c r="C19" s="13">
        <v>14</v>
      </c>
      <c r="D19" s="13">
        <v>20</v>
      </c>
      <c r="E19" s="13">
        <v>0.41176470599999998</v>
      </c>
      <c r="F19" s="13"/>
      <c r="G19" s="14"/>
      <c r="H19" s="13">
        <v>0.58823529399999996</v>
      </c>
      <c r="I19" s="13"/>
      <c r="J19" s="12"/>
      <c r="K19" s="12"/>
      <c r="L19" s="12"/>
      <c r="M19" s="12"/>
      <c r="N19" s="12"/>
      <c r="O19" s="14"/>
      <c r="P19" s="14"/>
      <c r="Q19" s="12"/>
      <c r="R19" s="12"/>
      <c r="S19" s="12"/>
      <c r="T19" s="12"/>
      <c r="U19" s="12"/>
      <c r="V19" s="12"/>
    </row>
    <row r="20" spans="1:22" ht="15" customHeight="1">
      <c r="A20" s="10" t="s">
        <v>5</v>
      </c>
      <c r="B20" s="13">
        <v>9</v>
      </c>
      <c r="C20" s="13">
        <v>13</v>
      </c>
      <c r="D20" s="13">
        <v>14</v>
      </c>
      <c r="E20" s="13">
        <v>0.48148148099999999</v>
      </c>
      <c r="F20" s="13"/>
      <c r="G20" s="14"/>
      <c r="H20" s="13">
        <v>0.51851851900000001</v>
      </c>
      <c r="I20" s="13"/>
      <c r="J20" s="12"/>
      <c r="K20" s="12"/>
      <c r="L20" s="12"/>
      <c r="M20" s="12"/>
      <c r="N20" s="12"/>
      <c r="O20" s="14"/>
      <c r="P20" s="14"/>
      <c r="Q20" s="12"/>
      <c r="R20" s="12"/>
      <c r="S20" s="12"/>
      <c r="T20" s="12"/>
      <c r="U20" s="12"/>
      <c r="V20" s="12"/>
    </row>
    <row r="21" spans="1:22" ht="15" customHeight="1">
      <c r="A21" s="10" t="s">
        <v>5</v>
      </c>
      <c r="B21" s="13">
        <v>10</v>
      </c>
      <c r="C21" s="13">
        <v>14</v>
      </c>
      <c r="D21" s="13">
        <v>15</v>
      </c>
      <c r="E21" s="13">
        <v>0.482758621</v>
      </c>
      <c r="F21" s="15">
        <f>STDEV(E12:E21)</f>
        <v>5.5180991080467513E-2</v>
      </c>
      <c r="G21" s="14"/>
      <c r="H21" s="13">
        <v>0.517241379</v>
      </c>
      <c r="I21" s="15">
        <f>STDEV(H12:H21)</f>
        <v>5.5180991080467458E-2</v>
      </c>
      <c r="J21" s="11" t="s">
        <v>5</v>
      </c>
      <c r="K21" s="11">
        <v>106</v>
      </c>
      <c r="L21" s="11">
        <v>155</v>
      </c>
      <c r="M21" s="13">
        <v>0.40481099999999998</v>
      </c>
      <c r="N21" s="13"/>
      <c r="O21" s="13">
        <v>0.59518899999999997</v>
      </c>
      <c r="P21" s="13"/>
      <c r="Q21" s="12"/>
      <c r="R21" s="12"/>
      <c r="S21" s="12"/>
      <c r="T21" s="12"/>
      <c r="U21" s="12"/>
      <c r="V21" s="12"/>
    </row>
    <row r="22" spans="1:22" ht="15" customHeight="1">
      <c r="A22" s="10" t="s">
        <v>6</v>
      </c>
      <c r="B22" s="13">
        <v>1</v>
      </c>
      <c r="C22" s="13">
        <v>26</v>
      </c>
      <c r="D22" s="13">
        <v>44</v>
      </c>
      <c r="E22" s="13">
        <v>0.37142857099999999</v>
      </c>
      <c r="F22" s="13"/>
      <c r="G22" s="14"/>
      <c r="H22" s="13">
        <v>0.62857142899999996</v>
      </c>
      <c r="I22" s="13"/>
      <c r="J22" s="12"/>
      <c r="K22" s="12"/>
      <c r="L22" s="12"/>
      <c r="M22" s="12"/>
      <c r="N22" s="12"/>
      <c r="O22" s="14"/>
      <c r="P22" s="14"/>
      <c r="Q22" s="12"/>
      <c r="R22" s="12"/>
      <c r="S22" s="12"/>
      <c r="T22" s="12"/>
      <c r="U22" s="12"/>
      <c r="V22" s="12"/>
    </row>
    <row r="23" spans="1:22" ht="15" customHeight="1">
      <c r="A23" s="10" t="s">
        <v>6</v>
      </c>
      <c r="B23" s="13">
        <v>2</v>
      </c>
      <c r="C23" s="13">
        <v>29</v>
      </c>
      <c r="D23" s="13">
        <v>41</v>
      </c>
      <c r="E23" s="13">
        <v>0.41428571400000003</v>
      </c>
      <c r="F23" s="13"/>
      <c r="G23" s="14"/>
      <c r="H23" s="13">
        <v>0.58571428599999997</v>
      </c>
      <c r="I23" s="13"/>
      <c r="J23" s="12"/>
      <c r="K23" s="12"/>
      <c r="L23" s="12"/>
      <c r="M23" s="12"/>
      <c r="N23" s="12"/>
      <c r="O23" s="14"/>
      <c r="P23" s="14"/>
      <c r="Q23" s="12"/>
      <c r="R23" s="12"/>
      <c r="S23" s="12"/>
      <c r="T23" s="12"/>
      <c r="U23" s="12"/>
      <c r="V23" s="12"/>
    </row>
    <row r="24" spans="1:22" ht="15" customHeight="1">
      <c r="A24" s="10" t="s">
        <v>6</v>
      </c>
      <c r="B24" s="13">
        <v>3</v>
      </c>
      <c r="C24" s="13">
        <v>41</v>
      </c>
      <c r="D24" s="13">
        <v>48</v>
      </c>
      <c r="E24" s="13">
        <v>0.46067415699999997</v>
      </c>
      <c r="F24" s="13"/>
      <c r="G24" s="14"/>
      <c r="H24" s="13">
        <v>0.53932584299999997</v>
      </c>
      <c r="I24" s="13"/>
      <c r="J24" s="12"/>
      <c r="K24" s="12"/>
      <c r="L24" s="12"/>
      <c r="M24" s="12"/>
      <c r="N24" s="12"/>
      <c r="O24" s="14"/>
      <c r="P24" s="14"/>
      <c r="Q24" s="12"/>
      <c r="R24" s="12"/>
      <c r="S24" s="12"/>
      <c r="T24" s="12"/>
      <c r="U24" s="12"/>
      <c r="V24" s="12"/>
    </row>
    <row r="25" spans="1:22" ht="15" customHeight="1">
      <c r="A25" s="10" t="s">
        <v>6</v>
      </c>
      <c r="B25" s="13">
        <v>4</v>
      </c>
      <c r="C25" s="13">
        <v>50</v>
      </c>
      <c r="D25" s="13">
        <v>48</v>
      </c>
      <c r="E25" s="13">
        <v>0.510204082</v>
      </c>
      <c r="F25" s="13"/>
      <c r="G25" s="14"/>
      <c r="H25" s="13">
        <v>0.489795918</v>
      </c>
      <c r="I25" s="13"/>
      <c r="J25" s="12"/>
      <c r="K25" s="12"/>
      <c r="L25" s="12"/>
      <c r="M25" s="12"/>
      <c r="N25" s="12"/>
      <c r="O25" s="14"/>
      <c r="P25" s="14"/>
      <c r="Q25" s="12"/>
      <c r="R25" s="12"/>
      <c r="S25" s="12"/>
      <c r="T25" s="12"/>
      <c r="U25" s="12"/>
      <c r="V25" s="12"/>
    </row>
    <row r="26" spans="1:22" ht="15" customHeight="1">
      <c r="A26" s="10" t="s">
        <v>6</v>
      </c>
      <c r="B26" s="13">
        <v>5</v>
      </c>
      <c r="C26" s="13">
        <v>32</v>
      </c>
      <c r="D26" s="13">
        <v>48</v>
      </c>
      <c r="E26" s="13">
        <v>0.4</v>
      </c>
      <c r="F26" s="13"/>
      <c r="G26" s="14"/>
      <c r="H26" s="13">
        <v>0.6</v>
      </c>
      <c r="I26" s="13"/>
      <c r="J26" s="12"/>
      <c r="K26" s="12"/>
      <c r="L26" s="12"/>
      <c r="M26" s="12"/>
      <c r="N26" s="12"/>
      <c r="O26" s="14"/>
      <c r="P26" s="14"/>
      <c r="Q26" s="12"/>
      <c r="R26" s="12"/>
      <c r="S26" s="12"/>
      <c r="T26" s="12"/>
      <c r="U26" s="12"/>
      <c r="V26" s="12"/>
    </row>
    <row r="27" spans="1:22" ht="15" customHeight="1">
      <c r="A27" s="10" t="s">
        <v>6</v>
      </c>
      <c r="B27" s="13">
        <v>6</v>
      </c>
      <c r="C27" s="13">
        <v>43</v>
      </c>
      <c r="D27" s="13">
        <v>44</v>
      </c>
      <c r="E27" s="13">
        <v>0.49425287400000001</v>
      </c>
      <c r="F27" s="13"/>
      <c r="G27" s="14"/>
      <c r="H27" s="13">
        <v>0.50574712600000005</v>
      </c>
      <c r="I27" s="13"/>
      <c r="J27" s="12"/>
      <c r="K27" s="12"/>
      <c r="L27" s="12"/>
      <c r="M27" s="12"/>
      <c r="N27" s="12"/>
      <c r="O27" s="14"/>
      <c r="P27" s="14"/>
      <c r="Q27" s="12"/>
      <c r="R27" s="12"/>
      <c r="S27" s="12"/>
      <c r="T27" s="12"/>
      <c r="U27" s="12"/>
      <c r="V27" s="12"/>
    </row>
    <row r="28" spans="1:22" ht="14.25">
      <c r="A28" s="10" t="s">
        <v>6</v>
      </c>
      <c r="B28" s="13">
        <v>7</v>
      </c>
      <c r="C28" s="13">
        <v>39</v>
      </c>
      <c r="D28" s="13">
        <v>51</v>
      </c>
      <c r="E28" s="13">
        <v>0.43333333299999999</v>
      </c>
      <c r="F28" s="13"/>
      <c r="G28" s="14"/>
      <c r="H28" s="13">
        <v>0.56666666700000001</v>
      </c>
      <c r="I28" s="13"/>
      <c r="J28" s="12"/>
      <c r="K28" s="12"/>
      <c r="L28" s="12"/>
      <c r="M28" s="12"/>
      <c r="N28" s="12"/>
      <c r="O28" s="14"/>
      <c r="P28" s="14"/>
      <c r="Q28" s="12"/>
      <c r="R28" s="12"/>
      <c r="S28" s="12"/>
      <c r="T28" s="12"/>
      <c r="U28" s="12"/>
      <c r="V28" s="12"/>
    </row>
    <row r="29" spans="1:22" ht="14.25">
      <c r="A29" s="10" t="s">
        <v>6</v>
      </c>
      <c r="B29" s="13">
        <v>8</v>
      </c>
      <c r="C29" s="13">
        <v>46</v>
      </c>
      <c r="D29" s="13">
        <v>52</v>
      </c>
      <c r="E29" s="13">
        <v>0.46938775500000002</v>
      </c>
      <c r="F29" s="13"/>
      <c r="G29" s="14"/>
      <c r="H29" s="13">
        <v>0.53061224500000004</v>
      </c>
      <c r="I29" s="13"/>
      <c r="J29" s="12"/>
      <c r="K29" s="12"/>
      <c r="L29" s="12"/>
      <c r="M29" s="12"/>
      <c r="N29" s="12"/>
      <c r="O29" s="14"/>
      <c r="P29" s="14"/>
      <c r="Q29" s="12"/>
      <c r="R29" s="12"/>
      <c r="S29" s="12"/>
      <c r="T29" s="12"/>
      <c r="U29" s="12"/>
      <c r="V29" s="12"/>
    </row>
    <row r="30" spans="1:22" ht="14.25">
      <c r="A30" s="10" t="s">
        <v>6</v>
      </c>
      <c r="B30" s="13">
        <v>9</v>
      </c>
      <c r="C30" s="13">
        <v>45</v>
      </c>
      <c r="D30" s="13">
        <v>44</v>
      </c>
      <c r="E30" s="13">
        <v>0.50561797799999997</v>
      </c>
      <c r="F30" s="13"/>
      <c r="G30" s="14"/>
      <c r="H30" s="13">
        <v>0.49438202199999998</v>
      </c>
      <c r="I30" s="13"/>
      <c r="J30" s="12"/>
      <c r="K30" s="12"/>
      <c r="L30" s="12"/>
      <c r="M30" s="12"/>
      <c r="N30" s="12"/>
      <c r="O30" s="14"/>
      <c r="P30" s="14"/>
      <c r="Q30" s="12"/>
      <c r="R30" s="12"/>
      <c r="S30" s="12"/>
      <c r="T30" s="12"/>
      <c r="U30" s="12"/>
      <c r="V30" s="12"/>
    </row>
    <row r="31" spans="1:22" ht="14.25">
      <c r="A31" s="10" t="s">
        <v>6</v>
      </c>
      <c r="B31" s="13">
        <v>10</v>
      </c>
      <c r="C31" s="13">
        <v>45</v>
      </c>
      <c r="D31" s="13">
        <v>48</v>
      </c>
      <c r="E31" s="13">
        <v>0.48387096800000001</v>
      </c>
      <c r="F31" s="15">
        <f>STDEV(E22:E31)</f>
        <v>4.7556578484531736E-2</v>
      </c>
      <c r="G31" s="14"/>
      <c r="H31" s="13">
        <v>0.51612903200000004</v>
      </c>
      <c r="I31" s="15">
        <f>STDEV(H22:H31)</f>
        <v>4.7556578484531722E-2</v>
      </c>
      <c r="J31" s="11" t="s">
        <v>6</v>
      </c>
      <c r="K31" s="11">
        <v>396</v>
      </c>
      <c r="L31" s="11">
        <v>468</v>
      </c>
      <c r="M31" s="13">
        <v>0.45430599999999999</v>
      </c>
      <c r="N31" s="13"/>
      <c r="O31" s="13">
        <v>0.54569400000000001</v>
      </c>
      <c r="P31" s="13"/>
      <c r="Q31" s="12"/>
      <c r="R31" s="12"/>
      <c r="S31" s="12"/>
      <c r="T31" s="12"/>
      <c r="U31" s="12"/>
      <c r="V31" s="12"/>
    </row>
    <row r="32" spans="1:22" ht="14.25">
      <c r="A32" s="16"/>
      <c r="B32" s="16"/>
      <c r="C32" s="16"/>
      <c r="D32" s="16"/>
      <c r="E32" s="14"/>
      <c r="F32" s="14"/>
      <c r="G32" s="14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</row>
    <row r="33" spans="1:22" ht="14.25">
      <c r="A33" s="16"/>
      <c r="B33" s="16"/>
      <c r="C33" s="16"/>
      <c r="D33" s="16"/>
      <c r="E33" s="10" t="s">
        <v>72</v>
      </c>
      <c r="F33" s="17">
        <f>STDEV(E2:E31)</f>
        <v>8.8138339906654609E-2</v>
      </c>
      <c r="G33" s="14"/>
      <c r="H33" s="12"/>
      <c r="I33" s="18">
        <f>STDEV(H2:H31)</f>
        <v>8.8138339906654428E-2</v>
      </c>
      <c r="J33" s="11" t="s">
        <v>73</v>
      </c>
      <c r="K33" s="11">
        <v>833</v>
      </c>
      <c r="L33" s="11">
        <v>863</v>
      </c>
      <c r="M33" s="13">
        <v>0.47839399999999999</v>
      </c>
      <c r="N33" s="13"/>
      <c r="O33" s="13">
        <v>0.52160600000000001</v>
      </c>
      <c r="P33" s="13"/>
      <c r="Q33" s="11" t="s">
        <v>60</v>
      </c>
      <c r="R33" s="12"/>
      <c r="S33" s="12"/>
      <c r="T33" s="12"/>
      <c r="U33" s="12"/>
      <c r="V33" s="12"/>
    </row>
    <row r="34" spans="1:22" ht="14.25">
      <c r="A34" s="16"/>
      <c r="B34" s="16"/>
      <c r="C34" s="16"/>
      <c r="D34" s="16"/>
      <c r="E34" s="14"/>
      <c r="F34" s="14"/>
      <c r="G34" s="14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</row>
    <row r="35" spans="1:22" ht="14.25">
      <c r="A35" s="16"/>
      <c r="B35" s="16"/>
      <c r="C35" s="16"/>
      <c r="D35" s="16"/>
      <c r="E35" s="14"/>
      <c r="F35" s="14"/>
      <c r="G35" s="14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</row>
    <row r="36" spans="1:22" ht="14.25">
      <c r="A36" s="16"/>
      <c r="B36" s="16"/>
      <c r="C36" s="16"/>
      <c r="D36" s="16"/>
      <c r="E36" s="14"/>
      <c r="F36" s="14"/>
      <c r="G36" s="14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</row>
    <row r="37" spans="1:22" ht="14.25">
      <c r="A37" s="16"/>
      <c r="B37" s="16"/>
      <c r="C37" s="16"/>
      <c r="D37" s="16"/>
      <c r="E37" s="14"/>
      <c r="F37" s="14"/>
      <c r="G37" s="14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</row>
    <row r="38" spans="1:22" ht="14.25">
      <c r="A38" s="16"/>
      <c r="B38" s="16"/>
      <c r="C38" s="16"/>
      <c r="D38" s="16"/>
      <c r="E38" s="14"/>
      <c r="F38" s="14"/>
      <c r="G38" s="14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</row>
    <row r="39" spans="1:22" ht="14.25">
      <c r="A39" s="16"/>
      <c r="B39" s="16"/>
      <c r="C39" s="16"/>
      <c r="D39" s="16"/>
      <c r="E39" s="14"/>
      <c r="F39" s="14"/>
      <c r="G39" s="14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</row>
    <row r="40" spans="1:22" ht="14.25">
      <c r="A40" s="16"/>
      <c r="B40" s="16"/>
      <c r="C40" s="16"/>
      <c r="D40" s="16"/>
      <c r="E40" s="14"/>
      <c r="F40" s="14"/>
      <c r="G40" s="14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</row>
    <row r="41" spans="1:22" ht="14.25">
      <c r="A41" s="16"/>
      <c r="B41" s="16"/>
      <c r="C41" s="16"/>
      <c r="D41" s="16"/>
      <c r="E41" s="14"/>
      <c r="F41" s="14"/>
      <c r="G41" s="14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</row>
    <row r="42" spans="1:22" ht="14.25">
      <c r="A42" s="16"/>
      <c r="B42" s="16"/>
      <c r="C42" s="16"/>
      <c r="D42" s="16"/>
      <c r="E42" s="14"/>
      <c r="F42" s="14"/>
      <c r="G42" s="14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</row>
    <row r="43" spans="1:22" ht="14.25">
      <c r="A43" s="16"/>
      <c r="B43" s="16"/>
      <c r="C43" s="16"/>
      <c r="D43" s="16"/>
      <c r="E43" s="14"/>
      <c r="F43" s="14"/>
      <c r="G43" s="14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</row>
    <row r="44" spans="1:22" ht="14.25"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</row>
    <row r="45" spans="1:22" ht="14.25"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</row>
    <row r="46" spans="1:22" ht="14.25"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</row>
    <row r="47" spans="1:22" ht="14.25"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</row>
    <row r="48" spans="1:22" ht="14.25"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</row>
    <row r="49" spans="5:22" ht="14.25"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</row>
    <row r="50" spans="5:22" ht="14.25"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</row>
    <row r="51" spans="5:22" ht="14.25"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</row>
    <row r="52" spans="5:22" ht="14.25"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</row>
    <row r="53" spans="5:22" ht="14.25"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</row>
    <row r="54" spans="5:22" ht="14.25"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</row>
    <row r="55" spans="5:22" ht="14.25"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</row>
    <row r="56" spans="5:22" ht="14.25"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</row>
    <row r="57" spans="5:22" ht="14.25"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</row>
    <row r="58" spans="5:22" ht="14.25"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</row>
    <row r="59" spans="5:22" ht="14.25"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</row>
    <row r="60" spans="5:22" ht="14.25"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</row>
    <row r="61" spans="5:22" ht="14.25"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</row>
    <row r="62" spans="5:22" ht="14.25"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</row>
    <row r="63" spans="5:22" ht="14.25"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</row>
    <row r="64" spans="5:22" ht="14.25"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</row>
    <row r="65" spans="5:22" ht="14.25"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</row>
    <row r="66" spans="5:22" ht="14.25"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</row>
    <row r="67" spans="5:22" ht="14.25"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</row>
    <row r="68" spans="5:22" ht="14.25"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</row>
    <row r="69" spans="5:22" ht="14.25"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</row>
    <row r="70" spans="5:22" ht="14.25"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</row>
    <row r="71" spans="5:22" ht="14.25"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</row>
    <row r="72" spans="5:22" ht="14.25"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</row>
    <row r="73" spans="5:22" ht="14.25"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</row>
    <row r="74" spans="5:22" ht="14.25"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</row>
    <row r="75" spans="5:22" ht="14.25"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</row>
    <row r="76" spans="5:22" ht="14.25"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</row>
    <row r="77" spans="5:22" ht="14.25"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</row>
    <row r="78" spans="5:22" ht="14.25"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</row>
    <row r="79" spans="5:22" ht="14.25"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</row>
    <row r="80" spans="5:22" ht="14.25"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</row>
    <row r="81" spans="5:22" ht="14.25"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</row>
    <row r="82" spans="5:22" ht="14.25"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</row>
    <row r="83" spans="5:22" ht="14.25"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</row>
    <row r="84" spans="5:22" ht="14.25"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</row>
    <row r="85" spans="5:22" ht="14.25"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</row>
    <row r="86" spans="5:22" ht="14.25"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</row>
    <row r="87" spans="5:22" ht="14.25"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</row>
    <row r="88" spans="5:22" ht="14.25"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</row>
    <row r="89" spans="5:22" ht="14.25"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</row>
    <row r="90" spans="5:22" ht="14.25"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</row>
    <row r="91" spans="5:22" ht="14.25"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</row>
    <row r="92" spans="5:22" ht="14.25"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</row>
    <row r="93" spans="5:22" ht="14.25"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</row>
    <row r="94" spans="5:22" ht="14.25"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</row>
    <row r="95" spans="5:22" ht="14.25"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</row>
    <row r="96" spans="5:22" ht="14.25"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</row>
    <row r="97" spans="5:22" ht="14.25"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</row>
    <row r="98" spans="5:22" ht="14.25"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</row>
    <row r="99" spans="5:22" ht="14.25"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</row>
    <row r="100" spans="5:22" ht="14.25"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</row>
    <row r="101" spans="5:22" ht="14.25"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</row>
    <row r="102" spans="5:22" ht="14.25"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</row>
    <row r="103" spans="5:22" ht="14.25"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</row>
    <row r="104" spans="5:22" ht="14.25"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</row>
    <row r="105" spans="5:22" ht="14.25"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</row>
    <row r="106" spans="5:22" ht="14.25"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</row>
    <row r="107" spans="5:22" ht="14.25"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</row>
    <row r="108" spans="5:22" ht="14.25"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</row>
    <row r="109" spans="5:22" ht="14.25"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</row>
    <row r="110" spans="5:22" ht="14.25"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</row>
    <row r="111" spans="5:22" ht="14.25"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</row>
    <row r="112" spans="5:22" ht="14.25"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</row>
    <row r="113" spans="5:22" ht="14.25"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</row>
    <row r="114" spans="5:22" ht="14.25"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</row>
    <row r="115" spans="5:22" ht="14.25"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</row>
    <row r="116" spans="5:22" ht="14.25"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</row>
    <row r="117" spans="5:22" ht="14.25"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</row>
    <row r="118" spans="5:22" ht="14.25"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</row>
    <row r="119" spans="5:22" ht="14.25"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</row>
    <row r="120" spans="5:22" ht="14.25"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</row>
    <row r="121" spans="5:22" ht="14.25"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</row>
    <row r="122" spans="5:22" ht="14.25"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</row>
    <row r="123" spans="5:22" ht="14.25"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</row>
    <row r="124" spans="5:22" ht="14.25"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</row>
    <row r="125" spans="5:22" ht="14.25"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</row>
    <row r="126" spans="5:22" ht="14.25"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</row>
    <row r="127" spans="5:22" ht="14.25"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</row>
    <row r="128" spans="5:22" ht="14.25"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</row>
    <row r="129" spans="5:22" ht="14.25"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</row>
    <row r="130" spans="5:22" ht="14.25"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</row>
    <row r="131" spans="5:22" ht="14.25"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</row>
    <row r="132" spans="5:22" ht="14.25"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</row>
    <row r="133" spans="5:22" ht="14.25"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</row>
    <row r="134" spans="5:22" ht="14.25"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</row>
    <row r="135" spans="5:22" ht="14.25"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</row>
    <row r="136" spans="5:22" ht="14.25"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</row>
    <row r="137" spans="5:22" ht="14.25"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</row>
    <row r="138" spans="5:22" ht="14.25"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</row>
    <row r="139" spans="5:22" ht="14.25"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</row>
    <row r="140" spans="5:22" ht="14.25"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</row>
    <row r="141" spans="5:22" ht="14.25"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</row>
    <row r="142" spans="5:22" ht="14.25"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</row>
    <row r="143" spans="5:22" ht="14.25"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</row>
    <row r="144" spans="5:22" ht="14.25"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</row>
    <row r="145" spans="5:22" ht="14.25"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</row>
    <row r="146" spans="5:22" ht="14.25"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</row>
    <row r="147" spans="5:22" ht="14.25"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</row>
    <row r="148" spans="5:22" ht="14.25"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</row>
    <row r="149" spans="5:22" ht="14.25"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</row>
    <row r="150" spans="5:22" ht="14.25"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</row>
    <row r="151" spans="5:22" ht="14.25"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</row>
    <row r="152" spans="5:22" ht="14.25"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</row>
    <row r="153" spans="5:22" ht="14.25"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</row>
    <row r="154" spans="5:22" ht="14.25"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</row>
    <row r="155" spans="5:22" ht="14.25"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</row>
    <row r="156" spans="5:22" ht="14.25"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</row>
    <row r="157" spans="5:22" ht="14.25"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</row>
    <row r="158" spans="5:22" ht="14.25"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</row>
    <row r="159" spans="5:22" ht="14.25"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</row>
    <row r="160" spans="5:22" ht="14.25"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</row>
    <row r="161" spans="5:22" ht="14.25"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</row>
    <row r="162" spans="5:22" ht="14.25"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</row>
    <row r="163" spans="5:22" ht="14.25"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</row>
    <row r="164" spans="5:22" ht="14.25"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</row>
    <row r="165" spans="5:22" ht="14.25"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</row>
    <row r="166" spans="5:22" ht="14.25"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</row>
    <row r="167" spans="5:22" ht="14.25"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</row>
    <row r="168" spans="5:22" ht="14.25"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</row>
    <row r="169" spans="5:22" ht="14.25"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</row>
    <row r="170" spans="5:22" ht="14.25"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</row>
    <row r="171" spans="5:22" ht="14.25"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</row>
    <row r="172" spans="5:22" ht="14.25"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</row>
    <row r="173" spans="5:22" ht="14.25"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</row>
    <row r="174" spans="5:22" ht="14.25"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</row>
    <row r="175" spans="5:22" ht="14.25"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</row>
    <row r="176" spans="5:22" ht="14.25"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</row>
    <row r="177" spans="5:22" ht="14.25"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</row>
    <row r="178" spans="5:22" ht="14.25"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</row>
    <row r="179" spans="5:22" ht="14.25"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</row>
    <row r="180" spans="5:22" ht="14.25"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</row>
    <row r="181" spans="5:22" ht="14.25"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</row>
    <row r="182" spans="5:22" ht="14.25"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</row>
    <row r="183" spans="5:22" ht="14.25"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</row>
    <row r="184" spans="5:22" ht="14.25"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</row>
    <row r="185" spans="5:22" ht="14.25"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</row>
    <row r="186" spans="5:22" ht="14.25"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</row>
    <row r="187" spans="5:22" ht="14.25"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</row>
    <row r="188" spans="5:22" ht="14.25"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</row>
    <row r="189" spans="5:22" ht="14.25"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</row>
    <row r="190" spans="5:22" ht="14.25"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</row>
    <row r="191" spans="5:22" ht="14.25"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</row>
    <row r="192" spans="5:22" ht="14.25"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</row>
    <row r="193" spans="5:22" ht="14.25"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</row>
    <row r="194" spans="5:22" ht="14.25"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</row>
    <row r="195" spans="5:22" ht="14.25"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</row>
    <row r="196" spans="5:22" ht="14.25"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</row>
    <row r="197" spans="5:22" ht="14.25"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</row>
    <row r="198" spans="5:22" ht="14.25"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</row>
    <row r="199" spans="5:22" ht="14.25"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</row>
    <row r="200" spans="5:22" ht="14.25"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</row>
    <row r="201" spans="5:22" ht="14.25"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</row>
    <row r="202" spans="5:22" ht="14.25"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</row>
    <row r="203" spans="5:22" ht="14.25"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</row>
    <row r="204" spans="5:22" ht="14.25"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</row>
    <row r="205" spans="5:22" ht="14.25"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</row>
    <row r="206" spans="5:22" ht="14.25"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</row>
    <row r="207" spans="5:22" ht="14.25"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</row>
    <row r="208" spans="5:22" ht="14.25"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</row>
    <row r="209" spans="5:22" ht="14.25"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</row>
    <row r="210" spans="5:22" ht="14.25"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</row>
    <row r="211" spans="5:22" ht="14.25"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</row>
    <row r="212" spans="5:22" ht="14.25"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</row>
    <row r="213" spans="5:22" ht="14.25"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</row>
    <row r="214" spans="5:22" ht="14.25"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</row>
    <row r="215" spans="5:22" ht="14.25"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</row>
    <row r="216" spans="5:22" ht="14.25"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</row>
    <row r="217" spans="5:22" ht="14.25"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</row>
    <row r="218" spans="5:22" ht="14.25"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</row>
    <row r="219" spans="5:22" ht="14.25"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</row>
    <row r="220" spans="5:22" ht="14.25"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</row>
    <row r="221" spans="5:22" ht="14.25"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</row>
    <row r="222" spans="5:22" ht="14.25"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</row>
    <row r="223" spans="5:22" ht="14.25"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</row>
    <row r="224" spans="5:22" ht="14.25"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</row>
    <row r="225" spans="5:22" ht="14.25"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</row>
    <row r="226" spans="5:22" ht="14.25"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</row>
    <row r="227" spans="5:22" ht="14.25"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</row>
    <row r="228" spans="5:22" ht="14.25"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</row>
    <row r="229" spans="5:22" ht="14.25"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</row>
    <row r="230" spans="5:22" ht="14.25"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</row>
    <row r="231" spans="5:22" ht="14.25"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</row>
    <row r="232" spans="5:22" ht="14.25"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</row>
    <row r="233" spans="5:22" ht="14.25"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</row>
    <row r="234" spans="5:22" ht="14.25"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</row>
    <row r="235" spans="5:22" ht="14.25"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</row>
    <row r="236" spans="5:22" ht="14.25"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</row>
    <row r="237" spans="5:22" ht="14.25"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</row>
    <row r="238" spans="5:22" ht="14.25"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</row>
    <row r="239" spans="5:22" ht="14.25"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</row>
    <row r="240" spans="5:22" ht="14.25"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</row>
    <row r="241" spans="5:22" ht="14.25"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</row>
    <row r="242" spans="5:22" ht="14.25"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</row>
    <row r="243" spans="5:22" ht="14.25"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</row>
    <row r="244" spans="5:22" ht="14.25"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</row>
    <row r="245" spans="5:22" ht="14.25"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</row>
    <row r="246" spans="5:22" ht="14.25"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</row>
    <row r="247" spans="5:22" ht="14.25"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</row>
    <row r="248" spans="5:22" ht="14.25"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</row>
    <row r="249" spans="5:22" ht="14.25"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</row>
    <row r="250" spans="5:22" ht="14.25"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</row>
    <row r="251" spans="5:22" ht="14.25"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</row>
    <row r="252" spans="5:22" ht="14.25"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</row>
    <row r="253" spans="5:22" ht="14.25"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</row>
    <row r="254" spans="5:22" ht="14.25"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</row>
    <row r="255" spans="5:22" ht="14.25"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</row>
    <row r="256" spans="5:22" ht="14.25"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</row>
    <row r="257" spans="5:22" ht="14.25"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</row>
    <row r="258" spans="5:22" ht="14.25"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</row>
    <row r="259" spans="5:22" ht="14.25"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</row>
    <row r="260" spans="5:22" ht="14.25"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</row>
    <row r="261" spans="5:22" ht="14.25"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</row>
    <row r="262" spans="5:22" ht="14.25"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</row>
    <row r="263" spans="5:22" ht="14.25"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</row>
    <row r="264" spans="5:22" ht="14.25"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</row>
    <row r="265" spans="5:22" ht="14.25"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</row>
    <row r="266" spans="5:22" ht="14.25"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</row>
    <row r="267" spans="5:22" ht="14.25"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</row>
    <row r="268" spans="5:22" ht="14.25"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</row>
    <row r="269" spans="5:22" ht="14.25"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</row>
    <row r="270" spans="5:22" ht="14.25"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</row>
    <row r="271" spans="5:22" ht="14.25"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</row>
    <row r="272" spans="5:22" ht="14.25"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</row>
    <row r="273" spans="5:22" ht="14.25"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</row>
    <row r="274" spans="5:22" ht="14.25"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</row>
    <row r="275" spans="5:22" ht="14.25"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</row>
    <row r="276" spans="5:22" ht="14.25"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</row>
    <row r="277" spans="5:22" ht="14.25"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</row>
    <row r="278" spans="5:22" ht="14.25"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</row>
    <row r="279" spans="5:22" ht="14.25"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</row>
    <row r="280" spans="5:22" ht="14.25"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</row>
    <row r="281" spans="5:22" ht="14.25"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</row>
    <row r="282" spans="5:22" ht="14.25"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</row>
    <row r="283" spans="5:22" ht="14.25"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</row>
    <row r="284" spans="5:22" ht="14.25"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</row>
    <row r="285" spans="5:22" ht="14.25"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</row>
    <row r="286" spans="5:22" ht="14.25"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</row>
    <row r="287" spans="5:22" ht="14.25"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</row>
    <row r="288" spans="5:22" ht="14.25"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</row>
    <row r="289" spans="5:22" ht="14.25"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</row>
    <row r="290" spans="5:22" ht="14.25"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</row>
    <row r="291" spans="5:22" ht="14.25"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</row>
    <row r="292" spans="5:22" ht="14.25"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</row>
    <row r="293" spans="5:22" ht="14.25"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</row>
    <row r="294" spans="5:22" ht="14.25"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</row>
    <row r="295" spans="5:22" ht="14.25"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</row>
    <row r="296" spans="5:22" ht="14.25"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</row>
    <row r="297" spans="5:22" ht="14.25"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</row>
    <row r="298" spans="5:22" ht="14.25"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</row>
    <row r="299" spans="5:22" ht="14.25"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</row>
    <row r="300" spans="5:22" ht="14.25"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</row>
    <row r="301" spans="5:22" ht="14.25"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</row>
    <row r="302" spans="5:22" ht="14.25"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</row>
    <row r="303" spans="5:22" ht="14.25"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</row>
    <row r="304" spans="5:22" ht="14.25"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</row>
    <row r="305" spans="5:22" ht="14.25"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</row>
    <row r="306" spans="5:22" ht="14.25"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</row>
    <row r="307" spans="5:22" ht="14.25"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</row>
    <row r="308" spans="5:22" ht="14.25"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</row>
    <row r="309" spans="5:22" ht="14.25"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</row>
    <row r="310" spans="5:22" ht="14.25"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</row>
    <row r="311" spans="5:22" ht="14.25"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</row>
    <row r="312" spans="5:22" ht="14.25"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</row>
    <row r="313" spans="5:22" ht="14.25"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</row>
    <row r="314" spans="5:22" ht="14.25"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</row>
    <row r="315" spans="5:22" ht="14.25"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</row>
    <row r="316" spans="5:22" ht="14.25"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</row>
    <row r="317" spans="5:22" ht="14.25"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</row>
    <row r="318" spans="5:22" ht="14.25"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</row>
    <row r="319" spans="5:22" ht="14.25"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</row>
    <row r="320" spans="5:22" ht="14.25"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</row>
    <row r="321" spans="5:22" ht="14.25"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</row>
    <row r="322" spans="5:22" ht="14.25"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</row>
    <row r="323" spans="5:22" ht="14.25"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</row>
    <row r="324" spans="5:22" ht="14.25"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</row>
    <row r="325" spans="5:22" ht="14.25"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</row>
    <row r="326" spans="5:22" ht="14.25"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</row>
    <row r="327" spans="5:22" ht="14.25"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</row>
    <row r="328" spans="5:22" ht="14.25"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</row>
    <row r="329" spans="5:22" ht="14.25"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</row>
    <row r="330" spans="5:22" ht="14.25"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</row>
    <row r="331" spans="5:22" ht="14.25"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</row>
    <row r="332" spans="5:22" ht="14.25"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</row>
    <row r="333" spans="5:22" ht="14.25"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</row>
    <row r="334" spans="5:22" ht="14.25"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</row>
    <row r="335" spans="5:22" ht="14.25"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</row>
    <row r="336" spans="5:22" ht="14.25"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</row>
    <row r="337" spans="5:22" ht="14.25"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</row>
    <row r="338" spans="5:22" ht="14.25"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</row>
    <row r="339" spans="5:22" ht="14.25"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</row>
    <row r="340" spans="5:22" ht="14.25"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</row>
    <row r="341" spans="5:22" ht="14.25"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</row>
    <row r="342" spans="5:22" ht="14.25"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</row>
    <row r="343" spans="5:22" ht="14.25"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</row>
    <row r="344" spans="5:22" ht="14.25"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</row>
    <row r="345" spans="5:22" ht="14.25"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</row>
    <row r="346" spans="5:22" ht="14.25"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</row>
    <row r="347" spans="5:22" ht="14.25"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</row>
    <row r="348" spans="5:22" ht="14.25"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</row>
    <row r="349" spans="5:22" ht="14.25"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</row>
    <row r="350" spans="5:22" ht="14.25"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</row>
    <row r="351" spans="5:22" ht="14.25"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</row>
    <row r="352" spans="5:22" ht="14.25"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</row>
    <row r="353" spans="5:22" ht="14.25"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</row>
    <row r="354" spans="5:22" ht="14.25"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</row>
    <row r="355" spans="5:22" ht="14.25"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</row>
    <row r="356" spans="5:22" ht="14.25"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</row>
    <row r="357" spans="5:22" ht="14.25"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</row>
    <row r="358" spans="5:22" ht="14.25"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</row>
    <row r="359" spans="5:22" ht="14.25"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</row>
    <row r="360" spans="5:22" ht="14.25"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</row>
    <row r="361" spans="5:22" ht="14.25"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</row>
    <row r="362" spans="5:22" ht="14.25"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</row>
    <row r="363" spans="5:22" ht="14.25"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</row>
    <row r="364" spans="5:22" ht="14.25"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</row>
    <row r="365" spans="5:22" ht="14.25"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</row>
    <row r="366" spans="5:22" ht="14.25"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</row>
    <row r="367" spans="5:22" ht="14.25"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</row>
    <row r="368" spans="5:22" ht="14.25"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</row>
    <row r="369" spans="5:22" ht="14.25"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</row>
    <row r="370" spans="5:22" ht="14.25"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</row>
    <row r="371" spans="5:22" ht="14.25"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</row>
    <row r="372" spans="5:22" ht="14.25"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</row>
    <row r="373" spans="5:22" ht="14.25"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</row>
    <row r="374" spans="5:22" ht="14.25"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</row>
    <row r="375" spans="5:22" ht="14.25"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</row>
    <row r="376" spans="5:22" ht="14.25"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</row>
    <row r="377" spans="5:22" ht="14.25"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</row>
    <row r="378" spans="5:22" ht="14.25"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</row>
    <row r="379" spans="5:22" ht="14.25"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</row>
    <row r="380" spans="5:22" ht="14.25"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</row>
    <row r="381" spans="5:22" ht="14.25"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</row>
    <row r="382" spans="5:22" ht="14.25"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</row>
    <row r="383" spans="5:22" ht="14.25"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</row>
    <row r="384" spans="5:22" ht="14.25"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</row>
    <row r="385" spans="5:22" ht="14.25"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</row>
    <row r="386" spans="5:22" ht="14.25"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</row>
    <row r="387" spans="5:22" ht="14.25"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</row>
    <row r="388" spans="5:22" ht="14.25"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</row>
    <row r="389" spans="5:22" ht="14.25"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</row>
    <row r="390" spans="5:22" ht="14.25"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</row>
    <row r="391" spans="5:22" ht="14.25"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</row>
    <row r="392" spans="5:22" ht="14.25"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</row>
    <row r="393" spans="5:22" ht="14.25"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</row>
    <row r="394" spans="5:22" ht="14.25"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</row>
    <row r="395" spans="5:22" ht="14.25"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</row>
    <row r="396" spans="5:22" ht="14.25"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</row>
    <row r="397" spans="5:22" ht="14.25"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</row>
    <row r="398" spans="5:22" ht="14.25"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</row>
    <row r="399" spans="5:22" ht="14.25"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</row>
    <row r="400" spans="5:22" ht="14.25"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</row>
    <row r="401" spans="5:22" ht="14.25"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</row>
    <row r="402" spans="5:22" ht="14.25"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</row>
    <row r="403" spans="5:22" ht="14.25"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</row>
    <row r="404" spans="5:22" ht="14.25"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</row>
    <row r="405" spans="5:22" ht="14.25"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</row>
    <row r="406" spans="5:22" ht="14.25"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</row>
    <row r="407" spans="5:22" ht="14.25"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</row>
    <row r="408" spans="5:22" ht="14.25"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</row>
    <row r="409" spans="5:22" ht="14.25"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</row>
    <row r="410" spans="5:22" ht="14.25"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</row>
    <row r="411" spans="5:22" ht="14.25"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</row>
    <row r="412" spans="5:22" ht="14.25"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</row>
    <row r="413" spans="5:22" ht="14.25"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</row>
    <row r="414" spans="5:22" ht="14.25"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</row>
    <row r="415" spans="5:22" ht="14.25"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</row>
    <row r="416" spans="5:22" ht="14.25"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</row>
    <row r="417" spans="5:22" ht="14.25"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</row>
    <row r="418" spans="5:22" ht="14.25"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</row>
    <row r="419" spans="5:22" ht="14.25"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</row>
    <row r="420" spans="5:22" ht="14.25"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</row>
    <row r="421" spans="5:22" ht="14.25"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</row>
    <row r="422" spans="5:22" ht="14.25"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</row>
    <row r="423" spans="5:22" ht="14.25"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</row>
    <row r="424" spans="5:22" ht="14.25"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</row>
    <row r="425" spans="5:22" ht="14.25"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</row>
    <row r="426" spans="5:22" ht="14.25"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</row>
    <row r="427" spans="5:22" ht="14.25"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</row>
    <row r="428" spans="5:22" ht="14.25"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</row>
    <row r="429" spans="5:22" ht="14.25"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</row>
    <row r="430" spans="5:22" ht="14.25"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</row>
    <row r="431" spans="5:22" ht="14.25"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</row>
    <row r="432" spans="5:22" ht="14.25"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</row>
    <row r="433" spans="5:22" ht="14.25"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</row>
    <row r="434" spans="5:22" ht="14.25"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</row>
    <row r="435" spans="5:22" ht="14.25"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</row>
    <row r="436" spans="5:22" ht="14.25"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</row>
    <row r="437" spans="5:22" ht="14.25"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</row>
    <row r="438" spans="5:22" ht="14.25"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</row>
    <row r="439" spans="5:22" ht="14.25"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</row>
    <row r="440" spans="5:22" ht="14.25"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</row>
    <row r="441" spans="5:22" ht="14.25"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</row>
    <row r="442" spans="5:22" ht="14.25"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</row>
    <row r="443" spans="5:22" ht="14.25"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</row>
    <row r="444" spans="5:22" ht="14.25"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</row>
    <row r="445" spans="5:22" ht="14.25"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</row>
    <row r="446" spans="5:22" ht="14.25"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</row>
    <row r="447" spans="5:22" ht="14.25"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</row>
    <row r="448" spans="5:22" ht="14.25"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</row>
    <row r="449" spans="5:22" ht="14.25"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</row>
    <row r="450" spans="5:22" ht="14.25"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</row>
    <row r="451" spans="5:22" ht="14.25"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</row>
    <row r="452" spans="5:22" ht="14.25"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</row>
    <row r="453" spans="5:22" ht="14.25"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</row>
    <row r="454" spans="5:22" ht="14.25"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</row>
    <row r="455" spans="5:22" ht="14.25"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</row>
    <row r="456" spans="5:22" ht="14.25"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</row>
    <row r="457" spans="5:22" ht="14.25"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</row>
    <row r="458" spans="5:22" ht="14.25"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</row>
    <row r="459" spans="5:22" ht="14.25"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</row>
    <row r="460" spans="5:22" ht="14.25"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</row>
    <row r="461" spans="5:22" ht="14.25"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</row>
    <row r="462" spans="5:22" ht="14.25"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</row>
    <row r="463" spans="5:22" ht="14.25"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</row>
    <row r="464" spans="5:22" ht="14.25"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</row>
    <row r="465" spans="5:22" ht="14.25"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</row>
    <row r="466" spans="5:22" ht="14.25"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</row>
    <row r="467" spans="5:22" ht="14.25"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</row>
    <row r="468" spans="5:22" ht="14.25"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</row>
    <row r="469" spans="5:22" ht="14.25"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</row>
    <row r="470" spans="5:22" ht="14.25"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</row>
    <row r="471" spans="5:22" ht="14.25"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</row>
    <row r="472" spans="5:22" ht="14.25"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</row>
    <row r="473" spans="5:22" ht="14.25"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</row>
    <row r="474" spans="5:22" ht="14.25"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</row>
    <row r="475" spans="5:22" ht="14.25"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</row>
    <row r="476" spans="5:22" ht="14.25"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</row>
    <row r="477" spans="5:22" ht="14.25"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</row>
    <row r="478" spans="5:22" ht="14.25"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</row>
    <row r="479" spans="5:22" ht="14.25"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</row>
    <row r="480" spans="5:22" ht="14.25"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</row>
    <row r="481" spans="5:22" ht="14.25"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</row>
    <row r="482" spans="5:22" ht="14.25"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</row>
    <row r="483" spans="5:22" ht="14.25"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</row>
    <row r="484" spans="5:22" ht="14.25"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</row>
    <row r="485" spans="5:22" ht="14.25"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</row>
    <row r="486" spans="5:22" ht="14.25"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</row>
    <row r="487" spans="5:22" ht="14.25"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</row>
    <row r="488" spans="5:22" ht="14.25"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</row>
    <row r="489" spans="5:22" ht="14.25"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</row>
    <row r="490" spans="5:22" ht="14.25"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</row>
    <row r="491" spans="5:22" ht="14.25"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</row>
    <row r="492" spans="5:22" ht="14.25"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</row>
    <row r="493" spans="5:22" ht="14.25"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</row>
    <row r="494" spans="5:22" ht="14.25"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</row>
    <row r="495" spans="5:22" ht="14.25"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</row>
    <row r="496" spans="5:22" ht="14.25"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</row>
    <row r="497" spans="5:22" ht="14.25"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</row>
    <row r="498" spans="5:22" ht="14.25"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</row>
    <row r="499" spans="5:22" ht="14.25"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</row>
    <row r="500" spans="5:22" ht="14.25"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</row>
    <row r="501" spans="5:22" ht="14.25"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</row>
    <row r="502" spans="5:22" ht="14.25"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</row>
    <row r="503" spans="5:22" ht="14.25"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</row>
    <row r="504" spans="5:22" ht="14.25"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</row>
    <row r="505" spans="5:22" ht="14.25"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</row>
    <row r="506" spans="5:22" ht="14.25"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</row>
    <row r="507" spans="5:22" ht="14.25"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</row>
    <row r="508" spans="5:22" ht="14.25"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</row>
    <row r="509" spans="5:22" ht="14.25"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</row>
    <row r="510" spans="5:22" ht="14.25"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</row>
    <row r="511" spans="5:22" ht="14.25"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</row>
    <row r="512" spans="5:22" ht="14.25"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</row>
    <row r="513" spans="5:22" ht="14.25"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</row>
    <row r="514" spans="5:22" ht="14.25"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</row>
    <row r="515" spans="5:22" ht="14.25"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</row>
    <row r="516" spans="5:22" ht="14.25"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</row>
    <row r="517" spans="5:22" ht="14.25"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</row>
    <row r="518" spans="5:22" ht="14.25"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</row>
    <row r="519" spans="5:22" ht="14.25"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</row>
    <row r="520" spans="5:22" ht="14.25"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</row>
    <row r="521" spans="5:22" ht="14.25"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</row>
    <row r="522" spans="5:22" ht="14.25"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</row>
    <row r="523" spans="5:22" ht="14.25"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</row>
    <row r="524" spans="5:22" ht="14.25"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</row>
    <row r="525" spans="5:22" ht="14.25"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</row>
    <row r="526" spans="5:22" ht="14.25"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</row>
    <row r="527" spans="5:22" ht="14.25"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</row>
    <row r="528" spans="5:22" ht="14.25"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</row>
    <row r="529" spans="5:22" ht="14.25"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</row>
    <row r="530" spans="5:22" ht="14.25"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</row>
    <row r="531" spans="5:22" ht="14.25"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</row>
    <row r="532" spans="5:22" ht="14.25"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</row>
    <row r="533" spans="5:22" ht="14.25"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</row>
    <row r="534" spans="5:22" ht="14.25"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</row>
    <row r="535" spans="5:22" ht="14.25"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</row>
    <row r="536" spans="5:22" ht="14.25"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</row>
    <row r="537" spans="5:22" ht="14.25"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</row>
    <row r="538" spans="5:22" ht="14.25"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</row>
    <row r="539" spans="5:22" ht="14.25"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</row>
    <row r="540" spans="5:22" ht="14.25"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</row>
    <row r="541" spans="5:22" ht="14.25"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</row>
    <row r="542" spans="5:22" ht="14.25"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</row>
    <row r="543" spans="5:22" ht="14.25"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</row>
    <row r="544" spans="5:22" ht="14.25"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</row>
    <row r="545" spans="5:22" ht="14.25"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</row>
    <row r="546" spans="5:22" ht="14.25"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</row>
    <row r="547" spans="5:22" ht="14.25"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</row>
    <row r="548" spans="5:22" ht="14.25"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</row>
    <row r="549" spans="5:22" ht="14.25"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</row>
    <row r="550" spans="5:22" ht="14.25"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</row>
    <row r="551" spans="5:22" ht="14.25"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</row>
    <row r="552" spans="5:22" ht="14.25"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</row>
    <row r="553" spans="5:22" ht="14.25"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</row>
    <row r="554" spans="5:22" ht="14.25"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</row>
    <row r="555" spans="5:22" ht="14.25"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</row>
    <row r="556" spans="5:22" ht="14.25"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</row>
    <row r="557" spans="5:22" ht="14.25"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</row>
    <row r="558" spans="5:22" ht="14.25"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</row>
    <row r="559" spans="5:22" ht="14.25"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</row>
    <row r="560" spans="5:22" ht="14.25"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</row>
    <row r="561" spans="5:22" ht="14.25"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</row>
    <row r="562" spans="5:22" ht="14.25"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</row>
    <row r="563" spans="5:22" ht="14.25"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</row>
    <row r="564" spans="5:22" ht="14.25"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</row>
    <row r="565" spans="5:22" ht="14.25"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</row>
    <row r="566" spans="5:22" ht="14.25"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</row>
    <row r="567" spans="5:22" ht="14.25"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</row>
    <row r="568" spans="5:22" ht="14.25"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</row>
    <row r="569" spans="5:22" ht="14.25"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</row>
    <row r="570" spans="5:22" ht="14.25"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</row>
    <row r="571" spans="5:22" ht="14.25"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</row>
    <row r="572" spans="5:22" ht="14.25"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</row>
    <row r="573" spans="5:22" ht="14.25"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</row>
    <row r="574" spans="5:22" ht="14.25"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</row>
    <row r="575" spans="5:22" ht="14.25"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</row>
    <row r="576" spans="5:22" ht="14.25"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</row>
    <row r="577" spans="5:22" ht="14.25"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</row>
    <row r="578" spans="5:22" ht="14.25"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</row>
    <row r="579" spans="5:22" ht="14.25"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</row>
    <row r="580" spans="5:22" ht="14.25"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</row>
    <row r="581" spans="5:22" ht="14.25"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</row>
    <row r="582" spans="5:22" ht="14.25"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</row>
    <row r="583" spans="5:22" ht="14.25"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</row>
    <row r="584" spans="5:22" ht="14.25"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</row>
    <row r="585" spans="5:22" ht="14.25"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</row>
    <row r="586" spans="5:22" ht="14.25"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</row>
    <row r="587" spans="5:22" ht="14.25"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</row>
    <row r="588" spans="5:22" ht="14.25"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</row>
    <row r="589" spans="5:22" ht="14.25"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</row>
    <row r="590" spans="5:22" ht="14.25"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</row>
    <row r="591" spans="5:22" ht="14.25"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</row>
    <row r="592" spans="5:22" ht="14.25"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</row>
    <row r="593" spans="5:22" ht="14.25"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</row>
    <row r="594" spans="5:22" ht="14.25"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</row>
    <row r="595" spans="5:22" ht="14.25"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</row>
    <row r="596" spans="5:22" ht="14.25"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</row>
    <row r="597" spans="5:22" ht="14.25"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</row>
    <row r="598" spans="5:22" ht="14.25"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</row>
    <row r="599" spans="5:22" ht="14.25"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</row>
    <row r="600" spans="5:22" ht="14.25"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</row>
    <row r="601" spans="5:22" ht="14.25"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</row>
    <row r="602" spans="5:22" ht="14.25"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</row>
    <row r="603" spans="5:22" ht="14.25"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</row>
    <row r="604" spans="5:22" ht="14.25"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</row>
    <row r="605" spans="5:22" ht="14.25"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</row>
    <row r="606" spans="5:22" ht="14.25"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</row>
    <row r="607" spans="5:22" ht="14.25"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</row>
    <row r="608" spans="5:22" ht="14.25"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</row>
    <row r="609" spans="5:22" ht="14.25"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</row>
    <row r="610" spans="5:22" ht="14.25"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</row>
    <row r="611" spans="5:22" ht="14.25"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</row>
    <row r="612" spans="5:22" ht="14.25"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</row>
    <row r="613" spans="5:22" ht="14.25"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</row>
    <row r="614" spans="5:22" ht="14.25"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</row>
    <row r="615" spans="5:22" ht="14.25"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</row>
    <row r="616" spans="5:22" ht="14.25"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</row>
    <row r="617" spans="5:22" ht="14.25"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</row>
    <row r="618" spans="5:22" ht="14.25"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</row>
    <row r="619" spans="5:22" ht="14.25"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</row>
    <row r="620" spans="5:22" ht="14.25"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</row>
    <row r="621" spans="5:22" ht="14.25"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</row>
    <row r="622" spans="5:22" ht="14.25"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</row>
    <row r="623" spans="5:22" ht="14.25"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</row>
    <row r="624" spans="5:22" ht="14.25"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</row>
    <row r="625" spans="5:22" ht="14.25"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</row>
    <row r="626" spans="5:22" ht="14.25"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</row>
    <row r="627" spans="5:22" ht="14.25"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</row>
    <row r="628" spans="5:22" ht="14.25"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</row>
    <row r="629" spans="5:22" ht="14.25"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</row>
    <row r="630" spans="5:22" ht="14.25"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</row>
    <row r="631" spans="5:22" ht="14.25"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</row>
    <row r="632" spans="5:22" ht="14.25"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</row>
    <row r="633" spans="5:22" ht="14.25"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</row>
    <row r="634" spans="5:22" ht="14.25"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</row>
    <row r="635" spans="5:22" ht="14.25"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</row>
    <row r="636" spans="5:22" ht="14.25"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</row>
    <row r="637" spans="5:22" ht="14.25"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</row>
    <row r="638" spans="5:22" ht="14.25"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</row>
    <row r="639" spans="5:22" ht="14.25"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</row>
    <row r="640" spans="5:22" ht="14.25"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</row>
    <row r="641" spans="5:22" ht="14.25"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</row>
    <row r="642" spans="5:22" ht="14.25"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</row>
    <row r="643" spans="5:22" ht="14.25"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</row>
    <row r="644" spans="5:22" ht="14.25"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</row>
    <row r="645" spans="5:22" ht="14.25"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</row>
    <row r="646" spans="5:22" ht="14.25"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</row>
    <row r="647" spans="5:22" ht="14.25"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</row>
    <row r="648" spans="5:22" ht="14.25"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</row>
    <row r="649" spans="5:22" ht="14.25"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</row>
    <row r="650" spans="5:22" ht="14.25"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</row>
    <row r="651" spans="5:22" ht="14.25"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</row>
    <row r="652" spans="5:22" ht="14.25"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</row>
    <row r="653" spans="5:22" ht="14.25"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</row>
    <row r="654" spans="5:22" ht="14.25"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</row>
    <row r="655" spans="5:22" ht="14.25"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</row>
    <row r="656" spans="5:22" ht="14.25"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</row>
    <row r="657" spans="5:22" ht="14.25"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</row>
    <row r="658" spans="5:22" ht="14.25"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</row>
    <row r="659" spans="5:22" ht="14.25"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</row>
    <row r="660" spans="5:22" ht="14.25"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</row>
    <row r="661" spans="5:22" ht="14.25"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</row>
    <row r="662" spans="5:22" ht="14.25"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</row>
    <row r="663" spans="5:22" ht="14.25"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</row>
    <row r="664" spans="5:22" ht="14.25"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</row>
    <row r="665" spans="5:22" ht="14.25"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</row>
    <row r="666" spans="5:22" ht="14.25"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</row>
    <row r="667" spans="5:22" ht="14.25"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</row>
    <row r="668" spans="5:22" ht="14.25"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</row>
    <row r="669" spans="5:22" ht="14.25"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</row>
    <row r="670" spans="5:22" ht="14.25"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</row>
    <row r="671" spans="5:22" ht="14.25"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</row>
    <row r="672" spans="5:22" ht="14.25"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</row>
    <row r="673" spans="5:22" ht="14.25"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</row>
    <row r="674" spans="5:22" ht="14.25"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</row>
    <row r="675" spans="5:22" ht="14.25"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</row>
    <row r="676" spans="5:22" ht="14.25"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</row>
    <row r="677" spans="5:22" ht="14.25"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</row>
    <row r="678" spans="5:22" ht="14.25"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</row>
    <row r="679" spans="5:22" ht="14.25"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</row>
    <row r="680" spans="5:22" ht="14.25"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</row>
    <row r="681" spans="5:22" ht="14.25"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</row>
    <row r="682" spans="5:22" ht="14.25"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</row>
    <row r="683" spans="5:22" ht="14.25"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</row>
    <row r="684" spans="5:22" ht="14.25"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</row>
    <row r="685" spans="5:22" ht="14.25"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</row>
    <row r="686" spans="5:22" ht="14.25"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</row>
    <row r="687" spans="5:22" ht="14.25"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</row>
    <row r="688" spans="5:22" ht="14.25"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</row>
    <row r="689" spans="5:22" ht="14.25"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</row>
    <row r="690" spans="5:22" ht="14.25"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</row>
    <row r="691" spans="5:22" ht="14.25"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</row>
    <row r="692" spans="5:22" ht="14.25"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</row>
    <row r="693" spans="5:22" ht="14.25"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</row>
    <row r="694" spans="5:22" ht="14.25"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</row>
    <row r="695" spans="5:22" ht="14.25"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</row>
    <row r="696" spans="5:22" ht="14.25"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</row>
    <row r="697" spans="5:22" ht="14.25"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</row>
    <row r="698" spans="5:22" ht="14.25"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</row>
    <row r="699" spans="5:22" ht="14.25"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</row>
    <row r="700" spans="5:22" ht="14.25"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</row>
    <row r="701" spans="5:22" ht="14.25"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</row>
    <row r="702" spans="5:22" ht="14.25"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</row>
    <row r="703" spans="5:22" ht="14.25"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</row>
    <row r="704" spans="5:22" ht="14.25"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</row>
    <row r="705" spans="5:22" ht="14.25"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</row>
    <row r="706" spans="5:22" ht="14.25"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</row>
    <row r="707" spans="5:22" ht="14.25"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</row>
    <row r="708" spans="5:22" ht="14.25"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</row>
    <row r="709" spans="5:22" ht="14.25"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</row>
    <row r="710" spans="5:22" ht="14.25"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</row>
    <row r="711" spans="5:22" ht="14.25"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</row>
    <row r="712" spans="5:22" ht="14.25"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</row>
    <row r="713" spans="5:22" ht="14.25"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</row>
    <row r="714" spans="5:22" ht="14.25"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</row>
    <row r="715" spans="5:22" ht="14.25"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</row>
    <row r="716" spans="5:22" ht="14.25"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</row>
    <row r="717" spans="5:22" ht="14.25"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</row>
    <row r="718" spans="5:22" ht="14.25"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</row>
    <row r="719" spans="5:22" ht="14.25"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</row>
    <row r="720" spans="5:22" ht="14.25"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</row>
    <row r="721" spans="5:22" ht="14.25"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</row>
    <row r="722" spans="5:22" ht="14.25"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</row>
    <row r="723" spans="5:22" ht="14.25"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</row>
    <row r="724" spans="5:22" ht="14.25"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</row>
    <row r="725" spans="5:22" ht="14.25"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</row>
    <row r="726" spans="5:22" ht="14.25"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</row>
    <row r="727" spans="5:22" ht="14.25"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</row>
    <row r="728" spans="5:22" ht="14.25"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</row>
    <row r="729" spans="5:22" ht="14.25"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</row>
    <row r="730" spans="5:22" ht="14.25"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</row>
    <row r="731" spans="5:22" ht="14.25"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</row>
    <row r="732" spans="5:22" ht="14.25"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</row>
    <row r="733" spans="5:22" ht="14.25"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</row>
    <row r="734" spans="5:22" ht="14.25"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</row>
    <row r="735" spans="5:22" ht="14.25"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</row>
    <row r="736" spans="5:22" ht="14.25"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</row>
    <row r="737" spans="5:22" ht="14.25"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</row>
    <row r="738" spans="5:22" ht="14.25"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</row>
    <row r="739" spans="5:22" ht="14.25"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</row>
    <row r="740" spans="5:22" ht="14.25"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</row>
    <row r="741" spans="5:22" ht="14.25"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</row>
    <row r="742" spans="5:22" ht="14.25"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</row>
    <row r="743" spans="5:22" ht="14.25"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</row>
    <row r="744" spans="5:22" ht="14.25"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</row>
    <row r="745" spans="5:22" ht="14.25"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</row>
    <row r="746" spans="5:22" ht="14.25"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</row>
    <row r="747" spans="5:22" ht="14.25"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</row>
    <row r="748" spans="5:22" ht="14.25"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</row>
    <row r="749" spans="5:22" ht="14.25"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</row>
    <row r="750" spans="5:22" ht="14.25"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</row>
    <row r="751" spans="5:22" ht="14.25"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</row>
    <row r="752" spans="5:22" ht="14.25"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</row>
    <row r="753" spans="5:22" ht="14.25"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</row>
    <row r="754" spans="5:22" ht="14.25"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</row>
    <row r="755" spans="5:22" ht="14.25"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</row>
    <row r="756" spans="5:22" ht="14.25"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</row>
    <row r="757" spans="5:22" ht="14.25"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</row>
    <row r="758" spans="5:22" ht="14.25"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</row>
    <row r="759" spans="5:22" ht="14.25"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</row>
    <row r="760" spans="5:22" ht="14.25"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</row>
    <row r="761" spans="5:22" ht="14.25"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</row>
    <row r="762" spans="5:22" ht="14.25"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</row>
    <row r="763" spans="5:22" ht="14.25"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</row>
    <row r="764" spans="5:22" ht="14.25"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</row>
    <row r="765" spans="5:22" ht="14.25"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</row>
    <row r="766" spans="5:22" ht="14.25"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</row>
    <row r="767" spans="5:22" ht="14.25"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</row>
    <row r="768" spans="5:22" ht="14.25"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</row>
    <row r="769" spans="5:22" ht="14.25"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</row>
    <row r="770" spans="5:22" ht="14.25"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</row>
    <row r="771" spans="5:22" ht="14.25"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</row>
    <row r="772" spans="5:22" ht="14.25"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</row>
    <row r="773" spans="5:22" ht="14.25"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</row>
    <row r="774" spans="5:22" ht="14.25"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</row>
    <row r="775" spans="5:22" ht="14.25"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</row>
    <row r="776" spans="5:22" ht="14.25"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</row>
    <row r="777" spans="5:22" ht="14.25"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</row>
    <row r="778" spans="5:22" ht="14.25"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</row>
    <row r="779" spans="5:22" ht="14.25"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</row>
    <row r="780" spans="5:22" ht="14.25"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</row>
    <row r="781" spans="5:22" ht="14.25"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</row>
    <row r="782" spans="5:22" ht="14.25"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</row>
    <row r="783" spans="5:22" ht="14.25"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</row>
    <row r="784" spans="5:22" ht="14.25"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</row>
    <row r="785" spans="5:22" ht="14.25"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</row>
    <row r="786" spans="5:22" ht="14.25"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</row>
    <row r="787" spans="5:22" ht="14.25"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</row>
    <row r="788" spans="5:22" ht="14.25"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</row>
    <row r="789" spans="5:22" ht="14.25"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</row>
    <row r="790" spans="5:22" ht="14.25"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</row>
    <row r="791" spans="5:22" ht="14.25"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</row>
    <row r="792" spans="5:22" ht="14.25"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</row>
    <row r="793" spans="5:22" ht="14.25"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</row>
    <row r="794" spans="5:22" ht="14.25"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</row>
    <row r="795" spans="5:22" ht="14.25"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</row>
    <row r="796" spans="5:22" ht="14.25"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</row>
    <row r="797" spans="5:22" ht="14.25"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</row>
    <row r="798" spans="5:22" ht="14.25"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</row>
    <row r="799" spans="5:22" ht="14.25"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</row>
    <row r="800" spans="5:22" ht="14.25"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</row>
    <row r="801" spans="5:22" ht="14.25"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</row>
    <row r="802" spans="5:22" ht="14.25"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</row>
    <row r="803" spans="5:22" ht="14.25"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</row>
    <row r="804" spans="5:22" ht="14.25"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</row>
    <row r="805" spans="5:22" ht="14.25"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</row>
    <row r="806" spans="5:22" ht="14.25"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</row>
    <row r="807" spans="5:22" ht="14.25"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</row>
    <row r="808" spans="5:22" ht="14.25"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</row>
    <row r="809" spans="5:22" ht="14.25"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</row>
    <row r="810" spans="5:22" ht="14.25"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</row>
    <row r="811" spans="5:22" ht="14.25"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</row>
    <row r="812" spans="5:22" ht="14.25"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</row>
    <row r="813" spans="5:22" ht="14.25"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</row>
    <row r="814" spans="5:22" ht="14.25"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</row>
    <row r="815" spans="5:22" ht="14.25"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</row>
    <row r="816" spans="5:22" ht="14.25"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</row>
    <row r="817" spans="5:22" ht="14.25"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</row>
    <row r="818" spans="5:22" ht="14.25"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</row>
    <row r="819" spans="5:22" ht="14.25"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</row>
    <row r="820" spans="5:22" ht="14.25"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</row>
    <row r="821" spans="5:22" ht="14.25"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</row>
    <row r="822" spans="5:22" ht="14.25"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</row>
    <row r="823" spans="5:22" ht="14.25"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</row>
    <row r="824" spans="5:22" ht="14.25"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</row>
    <row r="825" spans="5:22" ht="14.25"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</row>
    <row r="826" spans="5:22" ht="14.25"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</row>
    <row r="827" spans="5:22" ht="14.25"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</row>
    <row r="828" spans="5:22" ht="14.25"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</row>
    <row r="829" spans="5:22" ht="14.25"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</row>
    <row r="830" spans="5:22" ht="14.25"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</row>
    <row r="831" spans="5:22" ht="14.25"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</row>
    <row r="832" spans="5:22" ht="14.25"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</row>
    <row r="833" spans="5:22" ht="14.25"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</row>
    <row r="834" spans="5:22" ht="14.25"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</row>
    <row r="835" spans="5:22" ht="14.25"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</row>
    <row r="836" spans="5:22" ht="14.25"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</row>
    <row r="837" spans="5:22" ht="14.25"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</row>
    <row r="838" spans="5:22" ht="14.25"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</row>
    <row r="839" spans="5:22" ht="14.25"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</row>
    <row r="840" spans="5:22" ht="14.25"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</row>
    <row r="841" spans="5:22" ht="14.25"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</row>
    <row r="842" spans="5:22" ht="14.25"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</row>
    <row r="843" spans="5:22" ht="14.25"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</row>
    <row r="844" spans="5:22" ht="14.25"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</row>
    <row r="845" spans="5:22" ht="14.25"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</row>
    <row r="846" spans="5:22" ht="14.25"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</row>
    <row r="847" spans="5:22" ht="14.25"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</row>
    <row r="848" spans="5:22" ht="14.25"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</row>
    <row r="849" spans="5:22" ht="14.25"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</row>
    <row r="850" spans="5:22" ht="14.25"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</row>
    <row r="851" spans="5:22" ht="14.25"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</row>
    <row r="852" spans="5:22" ht="14.25"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</row>
    <row r="853" spans="5:22" ht="14.25"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</row>
    <row r="854" spans="5:22" ht="14.25"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</row>
    <row r="855" spans="5:22" ht="14.25"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</row>
    <row r="856" spans="5:22" ht="14.25"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</row>
    <row r="857" spans="5:22" ht="14.25"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</row>
    <row r="858" spans="5:22" ht="14.25"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</row>
    <row r="859" spans="5:22" ht="14.25"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</row>
    <row r="860" spans="5:22" ht="14.25"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</row>
    <row r="861" spans="5:22" ht="14.25"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</row>
    <row r="862" spans="5:22" ht="14.25"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</row>
    <row r="863" spans="5:22" ht="14.25"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</row>
    <row r="864" spans="5:22" ht="14.25"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</row>
    <row r="865" spans="5:22" ht="14.25"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</row>
    <row r="866" spans="5:22" ht="14.25"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</row>
    <row r="867" spans="5:22" ht="14.25"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</row>
    <row r="868" spans="5:22" ht="14.25"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</row>
    <row r="869" spans="5:22" ht="14.25"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</row>
    <row r="870" spans="5:22" ht="14.25"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</row>
    <row r="871" spans="5:22" ht="14.25"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</row>
    <row r="872" spans="5:22" ht="14.25"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</row>
    <row r="873" spans="5:22" ht="14.25"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</row>
    <row r="874" spans="5:22" ht="14.25"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</row>
    <row r="875" spans="5:22" ht="14.25"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</row>
    <row r="876" spans="5:22" ht="14.25"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</row>
    <row r="877" spans="5:22" ht="14.25"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</row>
    <row r="878" spans="5:22" ht="14.25"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</row>
    <row r="879" spans="5:22" ht="14.25"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</row>
    <row r="880" spans="5:22" ht="14.25"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</row>
    <row r="881" spans="5:22" ht="14.25"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</row>
    <row r="882" spans="5:22" ht="14.25"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</row>
    <row r="883" spans="5:22" ht="14.25"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</row>
    <row r="884" spans="5:22" ht="14.25"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</row>
    <row r="885" spans="5:22" ht="14.25"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</row>
    <row r="886" spans="5:22" ht="14.25"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</row>
    <row r="887" spans="5:22" ht="14.25"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</row>
    <row r="888" spans="5:22" ht="14.25"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</row>
    <row r="889" spans="5:22" ht="14.25"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</row>
    <row r="890" spans="5:22" ht="14.25"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</row>
    <row r="891" spans="5:22" ht="14.25"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</row>
    <row r="892" spans="5:22" ht="14.25"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</row>
    <row r="893" spans="5:22" ht="14.25"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</row>
    <row r="894" spans="5:22" ht="14.25"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</row>
    <row r="895" spans="5:22" ht="14.25"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</row>
    <row r="896" spans="5:22" ht="14.25"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</row>
    <row r="897" spans="5:22" ht="14.25"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</row>
    <row r="898" spans="5:22" ht="14.25"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</row>
    <row r="899" spans="5:22" ht="14.25"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</row>
    <row r="900" spans="5:22" ht="14.25"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</row>
    <row r="901" spans="5:22" ht="14.25"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</row>
    <row r="902" spans="5:22" ht="14.25"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</row>
    <row r="903" spans="5:22" ht="14.25"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</row>
    <row r="904" spans="5:22" ht="14.25"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</row>
    <row r="905" spans="5:22" ht="14.25"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</row>
    <row r="906" spans="5:22" ht="14.25"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</row>
    <row r="907" spans="5:22" ht="14.25"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</row>
    <row r="908" spans="5:22" ht="14.25"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</row>
    <row r="909" spans="5:22" ht="14.25"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</row>
    <row r="910" spans="5:22" ht="14.25"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</row>
    <row r="911" spans="5:22" ht="14.25"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</row>
    <row r="912" spans="5:22" ht="14.25"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</row>
    <row r="913" spans="5:22" ht="14.25"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</row>
    <row r="914" spans="5:22" ht="14.25"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</row>
    <row r="915" spans="5:22" ht="14.25"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</row>
    <row r="916" spans="5:22" ht="14.25"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</row>
    <row r="917" spans="5:22" ht="14.25"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</row>
    <row r="918" spans="5:22" ht="14.25"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</row>
    <row r="919" spans="5:22" ht="14.25"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</row>
    <row r="920" spans="5:22" ht="14.25"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</row>
    <row r="921" spans="5:22" ht="14.25"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</row>
    <row r="922" spans="5:22" ht="14.25"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</row>
    <row r="923" spans="5:22" ht="14.25"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</row>
    <row r="924" spans="5:22" ht="14.25"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</row>
    <row r="925" spans="5:22" ht="14.25"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</row>
    <row r="926" spans="5:22" ht="14.25"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</row>
    <row r="927" spans="5:22" ht="14.25"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</row>
    <row r="928" spans="5:22" ht="14.25"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</row>
    <row r="929" spans="5:22" ht="14.25"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</row>
    <row r="930" spans="5:22" ht="14.25"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</row>
    <row r="931" spans="5:22" ht="14.25"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</row>
    <row r="932" spans="5:22" ht="14.25"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</row>
    <row r="933" spans="5:22" ht="14.25"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</row>
    <row r="934" spans="5:22" ht="14.25"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</row>
    <row r="935" spans="5:22" ht="14.25"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</row>
    <row r="936" spans="5:22" ht="14.25"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</row>
    <row r="937" spans="5:22" ht="14.25"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</row>
    <row r="938" spans="5:22" ht="14.25"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</row>
    <row r="939" spans="5:22" ht="14.25"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</row>
    <row r="940" spans="5:22" ht="14.25"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</row>
    <row r="941" spans="5:22" ht="14.25"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</row>
    <row r="942" spans="5:22" ht="14.25"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</row>
    <row r="943" spans="5:22" ht="14.25"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</row>
    <row r="944" spans="5:22" ht="14.25"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</row>
    <row r="945" spans="5:22" ht="14.25"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</row>
    <row r="946" spans="5:22" ht="14.25"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</row>
    <row r="947" spans="5:22" ht="14.25"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</row>
    <row r="948" spans="5:22" ht="14.25"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</row>
    <row r="949" spans="5:22" ht="14.25"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</row>
    <row r="950" spans="5:22" ht="14.25"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</row>
    <row r="951" spans="5:22" ht="14.25"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</row>
    <row r="952" spans="5:22" ht="14.25"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</row>
    <row r="953" spans="5:22" ht="14.25"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</row>
    <row r="954" spans="5:22" ht="14.25"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</row>
    <row r="955" spans="5:22" ht="14.25"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</row>
    <row r="956" spans="5:22" ht="14.25"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</row>
    <row r="957" spans="5:22" ht="14.25"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</row>
    <row r="958" spans="5:22" ht="14.25"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</row>
    <row r="959" spans="5:22" ht="14.25"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</row>
    <row r="960" spans="5:22" ht="14.25"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</row>
    <row r="961" spans="5:22" ht="14.25"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</row>
    <row r="962" spans="5:22" ht="14.25"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</row>
    <row r="963" spans="5:22" ht="14.25"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</row>
    <row r="964" spans="5:22" ht="14.25"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</row>
    <row r="965" spans="5:22" ht="14.25"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</row>
    <row r="966" spans="5:22" ht="14.25"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</row>
    <row r="967" spans="5:22" ht="14.25"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</row>
    <row r="968" spans="5:22" ht="14.25"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</row>
    <row r="969" spans="5:22" ht="14.25"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</row>
    <row r="970" spans="5:22" ht="14.25"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</row>
    <row r="971" spans="5:22" ht="14.25"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</row>
    <row r="972" spans="5:22" ht="14.25"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</row>
    <row r="973" spans="5:22" ht="14.25"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</row>
    <row r="974" spans="5:22" ht="14.25"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</row>
    <row r="975" spans="5:22" ht="14.25"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</row>
    <row r="976" spans="5:22" ht="14.25"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</row>
    <row r="977" spans="5:22" ht="14.25"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</row>
    <row r="978" spans="5:22" ht="14.25"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</row>
    <row r="979" spans="5:22" ht="14.25"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</row>
    <row r="980" spans="5:22" ht="14.25"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</row>
    <row r="981" spans="5:22" ht="14.25"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</row>
    <row r="982" spans="5:22" ht="14.25"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</row>
    <row r="983" spans="5:22" ht="14.25"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</row>
    <row r="984" spans="5:22" ht="14.25"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</row>
    <row r="985" spans="5:22" ht="14.25"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</row>
    <row r="986" spans="5:22" ht="14.25"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</row>
    <row r="987" spans="5:22" ht="14.25"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</row>
    <row r="988" spans="5:22" ht="14.25"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</row>
    <row r="989" spans="5:22" ht="14.25"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</row>
    <row r="990" spans="5:22" ht="14.25"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</row>
    <row r="991" spans="5:22" ht="14.25"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</row>
    <row r="992" spans="5:22" ht="14.25"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</row>
    <row r="993" spans="5:22" ht="14.25"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</row>
    <row r="994" spans="5:22" ht="14.25"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</row>
    <row r="995" spans="5:22" ht="14.25"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</row>
    <row r="996" spans="5:22" ht="14.25"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</row>
    <row r="997" spans="5:22" ht="14.25"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</row>
    <row r="998" spans="5:22" ht="14.25"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</row>
    <row r="999" spans="5:22" ht="14.25"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</row>
    <row r="1000" spans="5:22" ht="14.25"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</row>
  </sheetData>
  <mergeCells count="1">
    <mergeCell ref="F1:G1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970"/>
  <sheetViews>
    <sheetView workbookViewId="0">
      <selection activeCell="D27" sqref="D27"/>
    </sheetView>
  </sheetViews>
  <sheetFormatPr defaultColWidth="14.5" defaultRowHeight="15" customHeight="1"/>
  <cols>
    <col min="4" max="4" width="17.375" customWidth="1"/>
    <col min="5" max="5" width="18.125" customWidth="1"/>
    <col min="6" max="6" width="33" customWidth="1"/>
    <col min="7" max="7" width="18.875" customWidth="1"/>
    <col min="8" max="8" width="31.5" customWidth="1"/>
    <col min="10" max="10" width="27.125" customWidth="1"/>
    <col min="11" max="11" width="28.625" customWidth="1"/>
    <col min="12" max="12" width="26.5" customWidth="1"/>
    <col min="13" max="13" width="34.125" customWidth="1"/>
  </cols>
  <sheetData>
    <row r="1" spans="1:21" ht="15" customHeight="1">
      <c r="A1" s="10" t="s">
        <v>0</v>
      </c>
      <c r="B1" s="10" t="s">
        <v>1</v>
      </c>
      <c r="C1" s="16" t="s">
        <v>56</v>
      </c>
      <c r="D1" s="16" t="s">
        <v>67</v>
      </c>
      <c r="E1" s="16" t="s">
        <v>69</v>
      </c>
      <c r="F1" s="16" t="s">
        <v>68</v>
      </c>
      <c r="G1" s="11" t="s">
        <v>70</v>
      </c>
      <c r="H1" s="11" t="s">
        <v>71</v>
      </c>
      <c r="I1" s="12"/>
      <c r="J1" s="11" t="s">
        <v>74</v>
      </c>
      <c r="K1" s="11" t="s">
        <v>75</v>
      </c>
      <c r="L1" s="11" t="s">
        <v>76</v>
      </c>
      <c r="M1" s="12"/>
      <c r="N1" s="16" t="s">
        <v>77</v>
      </c>
      <c r="O1" s="12"/>
      <c r="P1" s="12"/>
      <c r="Q1" s="12"/>
      <c r="R1" s="12"/>
      <c r="S1" s="12"/>
      <c r="T1" s="12"/>
      <c r="U1" s="12"/>
    </row>
    <row r="2" spans="1:21" ht="15" customHeight="1">
      <c r="A2" s="10" t="s">
        <v>2</v>
      </c>
      <c r="B2" s="13">
        <v>11</v>
      </c>
      <c r="C2" s="13">
        <v>71</v>
      </c>
      <c r="D2" s="13">
        <v>36</v>
      </c>
      <c r="E2" s="13">
        <v>0.66355140199999996</v>
      </c>
      <c r="F2" s="13"/>
      <c r="G2" s="13">
        <v>0.336449</v>
      </c>
      <c r="H2" s="13"/>
      <c r="I2" s="10"/>
      <c r="J2" s="14"/>
      <c r="K2" s="14"/>
      <c r="L2" s="14"/>
      <c r="M2" s="12"/>
      <c r="N2" s="12"/>
      <c r="O2" s="12"/>
      <c r="P2" s="12"/>
      <c r="Q2" s="12"/>
      <c r="R2" s="12"/>
      <c r="S2" s="12"/>
      <c r="T2" s="12"/>
      <c r="U2" s="12"/>
    </row>
    <row r="3" spans="1:21" ht="15" customHeight="1">
      <c r="A3" s="10" t="s">
        <v>2</v>
      </c>
      <c r="B3" s="13">
        <v>12</v>
      </c>
      <c r="C3" s="13">
        <v>66</v>
      </c>
      <c r="D3" s="13">
        <v>39</v>
      </c>
      <c r="E3" s="13">
        <v>0.62857142899999996</v>
      </c>
      <c r="F3" s="13"/>
      <c r="G3" s="13">
        <v>0.37142900000000001</v>
      </c>
      <c r="H3" s="13"/>
      <c r="I3" s="10"/>
      <c r="J3" s="14"/>
      <c r="K3" s="14"/>
      <c r="L3" s="14"/>
      <c r="M3" s="12"/>
      <c r="N3" s="12"/>
      <c r="O3" s="12"/>
      <c r="P3" s="12"/>
      <c r="Q3" s="12"/>
      <c r="R3" s="12"/>
      <c r="S3" s="12"/>
      <c r="T3" s="12"/>
      <c r="U3" s="12"/>
    </row>
    <row r="4" spans="1:21" ht="15" customHeight="1">
      <c r="A4" s="10" t="s">
        <v>2</v>
      </c>
      <c r="B4" s="13">
        <v>13</v>
      </c>
      <c r="C4" s="13">
        <v>68</v>
      </c>
      <c r="D4" s="13">
        <v>32</v>
      </c>
      <c r="E4" s="13">
        <v>0.68</v>
      </c>
      <c r="F4" s="13"/>
      <c r="G4" s="13">
        <v>0.32</v>
      </c>
      <c r="H4" s="13"/>
      <c r="I4" s="10"/>
      <c r="J4" s="14"/>
      <c r="K4" s="14"/>
      <c r="L4" s="14"/>
      <c r="M4" s="12"/>
      <c r="N4" s="12"/>
      <c r="O4" s="12"/>
      <c r="P4" s="12"/>
      <c r="Q4" s="12"/>
      <c r="R4" s="12"/>
      <c r="S4" s="12"/>
      <c r="T4" s="12"/>
      <c r="U4" s="12"/>
    </row>
    <row r="5" spans="1:21" ht="15" customHeight="1">
      <c r="A5" s="10" t="s">
        <v>2</v>
      </c>
      <c r="B5" s="13">
        <v>14</v>
      </c>
      <c r="C5" s="13">
        <v>60</v>
      </c>
      <c r="D5" s="13">
        <v>36</v>
      </c>
      <c r="E5" s="13">
        <v>0.625</v>
      </c>
      <c r="F5" s="13"/>
      <c r="G5" s="13">
        <v>0.375</v>
      </c>
      <c r="H5" s="13"/>
      <c r="I5" s="10"/>
      <c r="J5" s="14"/>
      <c r="K5" s="14"/>
      <c r="L5" s="14"/>
      <c r="M5" s="12"/>
      <c r="N5" s="12"/>
      <c r="O5" s="12"/>
      <c r="P5" s="12"/>
      <c r="Q5" s="12"/>
      <c r="R5" s="12"/>
      <c r="S5" s="12"/>
      <c r="T5" s="12"/>
      <c r="U5" s="12"/>
    </row>
    <row r="6" spans="1:21" ht="15" customHeight="1">
      <c r="A6" s="10" t="s">
        <v>2</v>
      </c>
      <c r="B6" s="13">
        <v>15</v>
      </c>
      <c r="C6" s="13">
        <v>64</v>
      </c>
      <c r="D6" s="13">
        <v>41</v>
      </c>
      <c r="E6" s="13">
        <v>0.60952381</v>
      </c>
      <c r="F6" s="13"/>
      <c r="G6" s="13">
        <v>0.39047599999999999</v>
      </c>
      <c r="H6" s="13"/>
      <c r="I6" s="10"/>
      <c r="J6" s="14"/>
      <c r="K6" s="14"/>
      <c r="L6" s="14"/>
      <c r="M6" s="12"/>
      <c r="N6" s="12"/>
      <c r="O6" s="12"/>
      <c r="P6" s="12"/>
      <c r="Q6" s="12"/>
      <c r="R6" s="12"/>
      <c r="S6" s="12"/>
      <c r="T6" s="12"/>
      <c r="U6" s="12"/>
    </row>
    <row r="7" spans="1:21" ht="15" customHeight="1">
      <c r="A7" s="10" t="s">
        <v>2</v>
      </c>
      <c r="B7" s="13">
        <v>16</v>
      </c>
      <c r="C7" s="13">
        <v>58</v>
      </c>
      <c r="D7" s="13">
        <v>42</v>
      </c>
      <c r="E7" s="13">
        <v>0.57999999999999996</v>
      </c>
      <c r="F7" s="13"/>
      <c r="G7" s="13">
        <v>0.42</v>
      </c>
      <c r="H7" s="13"/>
      <c r="I7" s="10"/>
      <c r="J7" s="14"/>
      <c r="K7" s="14"/>
      <c r="L7" s="14"/>
      <c r="M7" s="12"/>
      <c r="N7" s="12"/>
      <c r="O7" s="12"/>
      <c r="P7" s="12"/>
      <c r="Q7" s="12"/>
      <c r="R7" s="12"/>
      <c r="S7" s="12"/>
      <c r="T7" s="12"/>
      <c r="U7" s="12"/>
    </row>
    <row r="8" spans="1:21" ht="15" customHeight="1">
      <c r="A8" s="10" t="s">
        <v>2</v>
      </c>
      <c r="B8" s="13">
        <v>17</v>
      </c>
      <c r="C8" s="13">
        <v>51</v>
      </c>
      <c r="D8" s="13">
        <v>26</v>
      </c>
      <c r="E8" s="13">
        <v>0.66233766199999999</v>
      </c>
      <c r="F8" s="13"/>
      <c r="G8" s="13">
        <v>0.33766200000000002</v>
      </c>
      <c r="H8" s="13"/>
      <c r="I8" s="10"/>
      <c r="J8" s="14"/>
      <c r="K8" s="14"/>
      <c r="L8" s="14"/>
      <c r="M8" s="12"/>
      <c r="N8" s="12"/>
      <c r="O8" s="12"/>
      <c r="P8" s="12"/>
      <c r="Q8" s="12"/>
      <c r="R8" s="12"/>
      <c r="S8" s="12"/>
      <c r="T8" s="12"/>
      <c r="U8" s="12"/>
    </row>
    <row r="9" spans="1:21" ht="15" customHeight="1">
      <c r="A9" s="10" t="s">
        <v>2</v>
      </c>
      <c r="B9" s="13">
        <v>18</v>
      </c>
      <c r="C9" s="13">
        <v>65</v>
      </c>
      <c r="D9" s="13">
        <v>39</v>
      </c>
      <c r="E9" s="13">
        <v>0.625</v>
      </c>
      <c r="F9" s="13"/>
      <c r="G9" s="13">
        <v>0.375</v>
      </c>
      <c r="H9" s="13"/>
      <c r="I9" s="10"/>
      <c r="J9" s="14"/>
      <c r="K9" s="14"/>
      <c r="L9" s="14"/>
      <c r="M9" s="12"/>
      <c r="N9" s="12"/>
      <c r="O9" s="12"/>
      <c r="P9" s="12"/>
      <c r="Q9" s="12"/>
      <c r="R9" s="12"/>
      <c r="S9" s="12"/>
      <c r="T9" s="12"/>
      <c r="U9" s="12"/>
    </row>
    <row r="10" spans="1:21" ht="15" customHeight="1">
      <c r="A10" s="10" t="s">
        <v>2</v>
      </c>
      <c r="B10" s="13">
        <v>19</v>
      </c>
      <c r="C10" s="13">
        <v>82</v>
      </c>
      <c r="D10" s="13">
        <v>30</v>
      </c>
      <c r="E10" s="13">
        <v>0.73214285700000004</v>
      </c>
      <c r="F10" s="13"/>
      <c r="G10" s="13">
        <v>0.26785700000000001</v>
      </c>
      <c r="H10" s="13"/>
      <c r="I10" s="10"/>
      <c r="J10" s="14"/>
      <c r="K10" s="14"/>
      <c r="L10" s="14"/>
      <c r="M10" s="12"/>
      <c r="N10" s="12"/>
      <c r="O10" s="12"/>
      <c r="P10" s="12"/>
      <c r="Q10" s="12"/>
      <c r="R10" s="12"/>
      <c r="S10" s="12"/>
      <c r="T10" s="12"/>
      <c r="U10" s="12"/>
    </row>
    <row r="11" spans="1:21" ht="15" customHeight="1">
      <c r="A11" s="10" t="s">
        <v>2</v>
      </c>
      <c r="B11" s="13">
        <v>20</v>
      </c>
      <c r="C11" s="13">
        <v>64</v>
      </c>
      <c r="D11" s="13">
        <v>40</v>
      </c>
      <c r="E11" s="13">
        <v>0.61538461499999997</v>
      </c>
      <c r="F11" s="15">
        <f>STDEV(E2:E11)</f>
        <v>4.3221647997098267E-2</v>
      </c>
      <c r="G11" s="13">
        <v>0.38461499999999998</v>
      </c>
      <c r="H11" s="15">
        <f>STDEV(G2:G11)</f>
        <v>4.3221649052812151E-2</v>
      </c>
      <c r="I11" s="10" t="s">
        <v>2</v>
      </c>
      <c r="J11" s="10">
        <v>649</v>
      </c>
      <c r="K11" s="10">
        <v>361</v>
      </c>
      <c r="L11" s="13">
        <v>0.64215100000000003</v>
      </c>
      <c r="M11" s="13"/>
      <c r="N11" s="13">
        <v>0.35784899999999997</v>
      </c>
      <c r="O11" s="13"/>
      <c r="P11" s="12"/>
      <c r="Q11" s="12"/>
      <c r="R11" s="12"/>
      <c r="S11" s="12"/>
      <c r="T11" s="12"/>
      <c r="U11" s="12"/>
    </row>
    <row r="12" spans="1:21" ht="15" customHeight="1">
      <c r="A12" s="10" t="s">
        <v>5</v>
      </c>
      <c r="B12" s="13">
        <v>11</v>
      </c>
      <c r="C12" s="13">
        <v>66</v>
      </c>
      <c r="D12" s="13">
        <v>20</v>
      </c>
      <c r="E12" s="13">
        <v>0.76744186000000003</v>
      </c>
      <c r="F12" s="13"/>
      <c r="G12" s="13">
        <v>0.23255799999999999</v>
      </c>
      <c r="H12" s="13"/>
      <c r="I12" s="14"/>
      <c r="J12" s="14"/>
      <c r="K12" s="14"/>
      <c r="L12" s="14"/>
      <c r="M12" s="14"/>
      <c r="N12" s="12"/>
      <c r="O12" s="12"/>
      <c r="P12" s="12"/>
      <c r="Q12" s="12"/>
      <c r="R12" s="12"/>
      <c r="S12" s="12"/>
      <c r="T12" s="12"/>
      <c r="U12" s="12"/>
    </row>
    <row r="13" spans="1:21" ht="15" customHeight="1">
      <c r="A13" s="10" t="s">
        <v>5</v>
      </c>
      <c r="B13" s="13">
        <v>12</v>
      </c>
      <c r="C13" s="13">
        <v>65</v>
      </c>
      <c r="D13" s="13">
        <v>24</v>
      </c>
      <c r="E13" s="13">
        <v>0.730337079</v>
      </c>
      <c r="F13" s="13"/>
      <c r="G13" s="13">
        <v>0.26966299999999999</v>
      </c>
      <c r="H13" s="13"/>
      <c r="I13" s="14"/>
      <c r="J13" s="14"/>
      <c r="K13" s="14"/>
      <c r="L13" s="14"/>
      <c r="M13" s="14"/>
      <c r="N13" s="12"/>
      <c r="O13" s="12"/>
      <c r="P13" s="12"/>
      <c r="Q13" s="12"/>
      <c r="R13" s="12"/>
      <c r="S13" s="12"/>
      <c r="T13" s="12"/>
      <c r="U13" s="12"/>
    </row>
    <row r="14" spans="1:21" ht="15" customHeight="1">
      <c r="A14" s="10" t="s">
        <v>5</v>
      </c>
      <c r="B14" s="13">
        <v>13</v>
      </c>
      <c r="C14" s="13">
        <v>60</v>
      </c>
      <c r="D14" s="13">
        <v>26</v>
      </c>
      <c r="E14" s="13">
        <v>0.69767441900000005</v>
      </c>
      <c r="F14" s="13"/>
      <c r="G14" s="13">
        <v>0.30232599999999998</v>
      </c>
      <c r="H14" s="13"/>
      <c r="I14" s="14"/>
      <c r="J14" s="14"/>
      <c r="K14" s="14"/>
      <c r="L14" s="14"/>
      <c r="M14" s="14"/>
      <c r="N14" s="12"/>
      <c r="O14" s="12"/>
      <c r="P14" s="12"/>
      <c r="Q14" s="12"/>
      <c r="R14" s="12"/>
      <c r="S14" s="12"/>
      <c r="T14" s="12"/>
      <c r="U14" s="12"/>
    </row>
    <row r="15" spans="1:21" ht="15" customHeight="1">
      <c r="A15" s="10" t="s">
        <v>5</v>
      </c>
      <c r="B15" s="13">
        <v>14</v>
      </c>
      <c r="C15" s="13">
        <v>56</v>
      </c>
      <c r="D15" s="13">
        <v>20</v>
      </c>
      <c r="E15" s="13">
        <v>0.73684210500000002</v>
      </c>
      <c r="F15" s="13"/>
      <c r="G15" s="13">
        <v>0.263158</v>
      </c>
      <c r="H15" s="13"/>
      <c r="I15" s="14"/>
      <c r="J15" s="14"/>
      <c r="K15" s="14"/>
      <c r="L15" s="14"/>
      <c r="M15" s="14"/>
      <c r="N15" s="12"/>
      <c r="O15" s="12"/>
      <c r="P15" s="12"/>
      <c r="Q15" s="12"/>
      <c r="R15" s="12"/>
      <c r="S15" s="12"/>
      <c r="T15" s="12"/>
      <c r="U15" s="12"/>
    </row>
    <row r="16" spans="1:21" ht="15" customHeight="1">
      <c r="A16" s="10" t="s">
        <v>5</v>
      </c>
      <c r="B16" s="13">
        <v>15</v>
      </c>
      <c r="C16" s="13">
        <v>52</v>
      </c>
      <c r="D16" s="13">
        <v>28</v>
      </c>
      <c r="E16" s="13">
        <v>0.65</v>
      </c>
      <c r="F16" s="13"/>
      <c r="G16" s="13">
        <v>0.35</v>
      </c>
      <c r="H16" s="13"/>
      <c r="I16" s="14"/>
      <c r="J16" s="14"/>
      <c r="K16" s="14"/>
      <c r="L16" s="14"/>
      <c r="M16" s="14"/>
      <c r="N16" s="12"/>
      <c r="O16" s="12"/>
      <c r="P16" s="12"/>
      <c r="Q16" s="12"/>
      <c r="R16" s="12"/>
      <c r="S16" s="12"/>
      <c r="T16" s="12"/>
      <c r="U16" s="12"/>
    </row>
    <row r="17" spans="1:21" ht="15" customHeight="1">
      <c r="A17" s="10" t="s">
        <v>5</v>
      </c>
      <c r="B17" s="13">
        <v>16</v>
      </c>
      <c r="C17" s="13">
        <v>69</v>
      </c>
      <c r="D17" s="13">
        <v>19</v>
      </c>
      <c r="E17" s="13">
        <v>0.784090909</v>
      </c>
      <c r="F17" s="13"/>
      <c r="G17" s="13">
        <v>0.21590899999999999</v>
      </c>
      <c r="H17" s="13"/>
      <c r="I17" s="14"/>
      <c r="J17" s="14"/>
      <c r="K17" s="14"/>
      <c r="L17" s="14"/>
      <c r="M17" s="14"/>
      <c r="N17" s="12"/>
      <c r="O17" s="12"/>
      <c r="P17" s="12"/>
      <c r="Q17" s="12"/>
      <c r="R17" s="12"/>
      <c r="S17" s="12"/>
      <c r="T17" s="12"/>
      <c r="U17" s="12"/>
    </row>
    <row r="18" spans="1:21" ht="15" customHeight="1">
      <c r="A18" s="10" t="s">
        <v>5</v>
      </c>
      <c r="B18" s="13">
        <v>17</v>
      </c>
      <c r="C18" s="13">
        <v>65</v>
      </c>
      <c r="D18" s="13">
        <v>23</v>
      </c>
      <c r="E18" s="13">
        <v>0.73863636399999999</v>
      </c>
      <c r="F18" s="13"/>
      <c r="G18" s="13">
        <v>0.26136399999999999</v>
      </c>
      <c r="H18" s="13"/>
      <c r="I18" s="14"/>
      <c r="J18" s="14"/>
      <c r="K18" s="14"/>
      <c r="L18" s="14"/>
      <c r="M18" s="14"/>
      <c r="N18" s="12"/>
      <c r="O18" s="12"/>
      <c r="P18" s="12"/>
      <c r="Q18" s="12"/>
      <c r="R18" s="12"/>
      <c r="S18" s="12"/>
      <c r="T18" s="12"/>
      <c r="U18" s="12"/>
    </row>
    <row r="19" spans="1:21" ht="15" customHeight="1">
      <c r="A19" s="10" t="s">
        <v>5</v>
      </c>
      <c r="B19" s="13">
        <v>18</v>
      </c>
      <c r="C19" s="13">
        <v>58</v>
      </c>
      <c r="D19" s="13">
        <v>20</v>
      </c>
      <c r="E19" s="13">
        <v>0.743589744</v>
      </c>
      <c r="F19" s="13"/>
      <c r="G19" s="13">
        <v>0.25641000000000003</v>
      </c>
      <c r="H19" s="13"/>
      <c r="I19" s="14"/>
      <c r="J19" s="14"/>
      <c r="K19" s="14"/>
      <c r="L19" s="14"/>
      <c r="M19" s="14"/>
      <c r="N19" s="12"/>
      <c r="O19" s="12"/>
      <c r="P19" s="12"/>
      <c r="Q19" s="12"/>
      <c r="R19" s="12"/>
      <c r="S19" s="12"/>
      <c r="T19" s="12"/>
      <c r="U19" s="12"/>
    </row>
    <row r="20" spans="1:21" ht="15" customHeight="1">
      <c r="A20" s="10" t="s">
        <v>5</v>
      </c>
      <c r="B20" s="13">
        <v>19</v>
      </c>
      <c r="C20" s="13">
        <v>38</v>
      </c>
      <c r="D20" s="13">
        <v>27</v>
      </c>
      <c r="E20" s="13">
        <v>0.58461538499999999</v>
      </c>
      <c r="F20" s="13"/>
      <c r="G20" s="13">
        <v>0.415385</v>
      </c>
      <c r="H20" s="13"/>
      <c r="I20" s="14"/>
      <c r="J20" s="14"/>
      <c r="K20" s="14"/>
      <c r="L20" s="14"/>
      <c r="M20" s="14"/>
      <c r="N20" s="12"/>
      <c r="O20" s="12"/>
      <c r="P20" s="12"/>
      <c r="Q20" s="12"/>
      <c r="R20" s="12"/>
      <c r="S20" s="12"/>
      <c r="T20" s="12"/>
      <c r="U20" s="12"/>
    </row>
    <row r="21" spans="1:21" ht="15" customHeight="1">
      <c r="A21" s="10" t="s">
        <v>5</v>
      </c>
      <c r="B21" s="13">
        <v>20</v>
      </c>
      <c r="C21" s="13">
        <v>65</v>
      </c>
      <c r="D21" s="13">
        <v>16</v>
      </c>
      <c r="E21" s="13">
        <v>0.80246913600000003</v>
      </c>
      <c r="F21" s="15">
        <f>STDEV(E12:E21)</f>
        <v>6.502463877907963E-2</v>
      </c>
      <c r="G21" s="13">
        <v>0.19753100000000001</v>
      </c>
      <c r="H21" s="15">
        <f>STDEV(G12:G21)</f>
        <v>6.5024746395677957E-2</v>
      </c>
      <c r="I21" s="10" t="s">
        <v>5</v>
      </c>
      <c r="J21" s="10">
        <v>594</v>
      </c>
      <c r="K21" s="10">
        <v>223</v>
      </c>
      <c r="L21" s="13">
        <v>0.72357000000000005</v>
      </c>
      <c r="M21" s="13"/>
      <c r="N21" s="13">
        <v>0.27643000000000001</v>
      </c>
      <c r="O21" s="13"/>
      <c r="P21" s="12"/>
      <c r="Q21" s="12"/>
      <c r="R21" s="12"/>
      <c r="S21" s="12"/>
      <c r="T21" s="12"/>
      <c r="U21" s="12"/>
    </row>
    <row r="22" spans="1:21" ht="15" customHeight="1">
      <c r="A22" s="10" t="s">
        <v>6</v>
      </c>
      <c r="B22" s="13">
        <v>11</v>
      </c>
      <c r="C22" s="13">
        <v>56</v>
      </c>
      <c r="D22" s="13">
        <v>19</v>
      </c>
      <c r="E22" s="13">
        <v>0.74666666699999995</v>
      </c>
      <c r="F22" s="13"/>
      <c r="G22" s="13">
        <v>0.25333299999999997</v>
      </c>
      <c r="H22" s="13"/>
      <c r="I22" s="14"/>
      <c r="J22" s="14"/>
      <c r="K22" s="14"/>
      <c r="L22" s="14"/>
      <c r="M22" s="14"/>
      <c r="N22" s="12"/>
      <c r="O22" s="12"/>
      <c r="P22" s="12"/>
      <c r="Q22" s="12"/>
      <c r="R22" s="12"/>
      <c r="S22" s="12"/>
      <c r="T22" s="12"/>
      <c r="U22" s="12"/>
    </row>
    <row r="23" spans="1:21" ht="15" customHeight="1">
      <c r="A23" s="10" t="s">
        <v>6</v>
      </c>
      <c r="B23" s="13">
        <v>12</v>
      </c>
      <c r="C23" s="13">
        <v>55</v>
      </c>
      <c r="D23" s="13">
        <v>19</v>
      </c>
      <c r="E23" s="13">
        <v>0.743243243</v>
      </c>
      <c r="F23" s="13"/>
      <c r="G23" s="13">
        <v>0.25675700000000001</v>
      </c>
      <c r="H23" s="13"/>
      <c r="I23" s="14"/>
      <c r="J23" s="14"/>
      <c r="K23" s="14"/>
      <c r="L23" s="14"/>
      <c r="M23" s="14"/>
      <c r="N23" s="12"/>
      <c r="O23" s="12"/>
      <c r="P23" s="12"/>
      <c r="Q23" s="12"/>
      <c r="R23" s="12"/>
      <c r="S23" s="12"/>
      <c r="T23" s="12"/>
      <c r="U23" s="12"/>
    </row>
    <row r="24" spans="1:21" ht="15" customHeight="1">
      <c r="A24" s="10" t="s">
        <v>6</v>
      </c>
      <c r="B24" s="13">
        <v>13</v>
      </c>
      <c r="C24" s="13">
        <v>54</v>
      </c>
      <c r="D24" s="13">
        <v>19</v>
      </c>
      <c r="E24" s="13">
        <v>0.73972602700000001</v>
      </c>
      <c r="F24" s="13"/>
      <c r="G24" s="13">
        <v>0.26027400000000001</v>
      </c>
      <c r="H24" s="13"/>
      <c r="I24" s="14"/>
      <c r="J24" s="14"/>
      <c r="K24" s="14"/>
      <c r="L24" s="14"/>
      <c r="M24" s="14"/>
      <c r="N24" s="12"/>
      <c r="O24" s="12"/>
      <c r="P24" s="12"/>
      <c r="Q24" s="12"/>
      <c r="R24" s="12"/>
      <c r="S24" s="12"/>
      <c r="T24" s="12"/>
      <c r="U24" s="12"/>
    </row>
    <row r="25" spans="1:21" ht="15" customHeight="1">
      <c r="A25" s="10" t="s">
        <v>6</v>
      </c>
      <c r="B25" s="13">
        <v>14</v>
      </c>
      <c r="C25" s="13">
        <v>45</v>
      </c>
      <c r="D25" s="13">
        <v>24</v>
      </c>
      <c r="E25" s="13">
        <v>0.65217391300000005</v>
      </c>
      <c r="F25" s="13"/>
      <c r="G25" s="13">
        <v>0.34782600000000002</v>
      </c>
      <c r="H25" s="13"/>
      <c r="I25" s="14"/>
      <c r="J25" s="14"/>
      <c r="K25" s="14"/>
      <c r="L25" s="14"/>
      <c r="M25" s="14"/>
      <c r="N25" s="12"/>
      <c r="O25" s="12"/>
      <c r="P25" s="12"/>
      <c r="Q25" s="12"/>
      <c r="R25" s="12"/>
      <c r="S25" s="12"/>
      <c r="T25" s="12"/>
      <c r="U25" s="12"/>
    </row>
    <row r="26" spans="1:21" ht="15" customHeight="1">
      <c r="A26" s="10" t="s">
        <v>6</v>
      </c>
      <c r="B26" s="13">
        <v>15</v>
      </c>
      <c r="C26" s="13">
        <v>46</v>
      </c>
      <c r="D26" s="13">
        <v>23</v>
      </c>
      <c r="E26" s="13">
        <v>0.66666666699999999</v>
      </c>
      <c r="F26" s="13"/>
      <c r="G26" s="13">
        <v>0.33333299999999999</v>
      </c>
      <c r="H26" s="13"/>
      <c r="I26" s="14"/>
      <c r="J26" s="14"/>
      <c r="K26" s="14"/>
      <c r="L26" s="14"/>
      <c r="M26" s="14"/>
      <c r="N26" s="12"/>
      <c r="O26" s="12"/>
      <c r="P26" s="12"/>
      <c r="Q26" s="12"/>
      <c r="R26" s="12"/>
      <c r="S26" s="12"/>
      <c r="T26" s="12"/>
      <c r="U26" s="12"/>
    </row>
    <row r="27" spans="1:21" ht="15" customHeight="1">
      <c r="A27" s="10" t="s">
        <v>6</v>
      </c>
      <c r="B27" s="13">
        <v>16</v>
      </c>
      <c r="C27" s="13">
        <v>54</v>
      </c>
      <c r="D27" s="13">
        <v>19</v>
      </c>
      <c r="E27" s="13">
        <v>0.73972602700000001</v>
      </c>
      <c r="F27" s="13"/>
      <c r="G27" s="13">
        <v>0.26027400000000001</v>
      </c>
      <c r="H27" s="13"/>
      <c r="I27" s="14"/>
      <c r="J27" s="14"/>
      <c r="K27" s="14"/>
      <c r="L27" s="14"/>
      <c r="M27" s="14"/>
      <c r="N27" s="12"/>
      <c r="O27" s="12"/>
      <c r="P27" s="12"/>
      <c r="Q27" s="12"/>
      <c r="R27" s="12"/>
      <c r="S27" s="12"/>
      <c r="T27" s="12"/>
      <c r="U27" s="12"/>
    </row>
    <row r="28" spans="1:21" ht="14.25">
      <c r="A28" s="10" t="s">
        <v>6</v>
      </c>
      <c r="B28" s="13">
        <v>17</v>
      </c>
      <c r="C28" s="13">
        <v>47</v>
      </c>
      <c r="D28" s="13">
        <v>23</v>
      </c>
      <c r="E28" s="13">
        <v>0.67142857099999997</v>
      </c>
      <c r="F28" s="13"/>
      <c r="G28" s="13">
        <v>0.328571</v>
      </c>
      <c r="H28" s="13"/>
      <c r="I28" s="14"/>
      <c r="J28" s="14"/>
      <c r="K28" s="14"/>
      <c r="L28" s="14"/>
      <c r="M28" s="14"/>
      <c r="N28" s="12"/>
      <c r="O28" s="12"/>
      <c r="P28" s="12"/>
      <c r="Q28" s="12"/>
      <c r="R28" s="12"/>
      <c r="S28" s="12"/>
      <c r="T28" s="12"/>
      <c r="U28" s="12"/>
    </row>
    <row r="29" spans="1:21" ht="14.25">
      <c r="A29" s="10" t="s">
        <v>6</v>
      </c>
      <c r="B29" s="13">
        <v>18</v>
      </c>
      <c r="C29" s="13">
        <v>43</v>
      </c>
      <c r="D29" s="13">
        <v>25</v>
      </c>
      <c r="E29" s="13">
        <v>0.63235294099999995</v>
      </c>
      <c r="F29" s="13"/>
      <c r="G29" s="13">
        <v>0.367647</v>
      </c>
      <c r="H29" s="13"/>
      <c r="I29" s="14"/>
      <c r="J29" s="14"/>
      <c r="K29" s="14"/>
      <c r="L29" s="14"/>
      <c r="M29" s="14"/>
      <c r="N29" s="12"/>
      <c r="O29" s="12"/>
      <c r="P29" s="12"/>
      <c r="Q29" s="12"/>
      <c r="R29" s="12"/>
      <c r="S29" s="12"/>
      <c r="T29" s="12"/>
      <c r="U29" s="12"/>
    </row>
    <row r="30" spans="1:21" ht="14.25">
      <c r="A30" s="10" t="s">
        <v>6</v>
      </c>
      <c r="B30" s="13">
        <v>19</v>
      </c>
      <c r="C30" s="13">
        <v>47</v>
      </c>
      <c r="D30" s="13">
        <v>23</v>
      </c>
      <c r="E30" s="13">
        <v>0.67142857099999997</v>
      </c>
      <c r="F30" s="13"/>
      <c r="G30" s="13">
        <v>0.328571</v>
      </c>
      <c r="H30" s="13"/>
      <c r="I30" s="14"/>
      <c r="J30" s="14"/>
      <c r="K30" s="14"/>
      <c r="L30" s="14"/>
      <c r="M30" s="14"/>
      <c r="N30" s="12"/>
      <c r="O30" s="12"/>
      <c r="P30" s="12"/>
      <c r="Q30" s="12"/>
      <c r="R30" s="12"/>
      <c r="S30" s="12"/>
      <c r="T30" s="12"/>
      <c r="U30" s="12"/>
    </row>
    <row r="31" spans="1:21" ht="14.25">
      <c r="A31" s="10" t="s">
        <v>6</v>
      </c>
      <c r="B31" s="13">
        <v>20</v>
      </c>
      <c r="C31" s="13">
        <v>40</v>
      </c>
      <c r="D31" s="13">
        <v>27</v>
      </c>
      <c r="E31" s="13">
        <v>0.59701492499999997</v>
      </c>
      <c r="F31" s="15">
        <f>STDEV(E22:E31)</f>
        <v>5.3196880185583335E-2</v>
      </c>
      <c r="G31" s="13">
        <v>0.40298499999999998</v>
      </c>
      <c r="H31" s="15">
        <f>STDEV(G22:G31)</f>
        <v>5.3196820881306256E-2</v>
      </c>
      <c r="I31" s="10" t="s">
        <v>6</v>
      </c>
      <c r="J31" s="10">
        <v>487</v>
      </c>
      <c r="K31" s="10">
        <v>221</v>
      </c>
      <c r="L31" s="13">
        <v>0.68604299999999996</v>
      </c>
      <c r="M31" s="13"/>
      <c r="N31" s="13">
        <v>0.31395699999999999</v>
      </c>
      <c r="O31" s="13"/>
      <c r="P31" s="12"/>
      <c r="Q31" s="12"/>
      <c r="R31" s="12"/>
      <c r="S31" s="12"/>
      <c r="T31" s="12"/>
      <c r="U31" s="12"/>
    </row>
    <row r="32" spans="1:21" ht="14.25">
      <c r="A32" s="16"/>
      <c r="B32" s="16"/>
      <c r="C32" s="16"/>
      <c r="D32" s="16"/>
      <c r="E32" s="14"/>
      <c r="F32" s="14"/>
      <c r="G32" s="14"/>
      <c r="H32" s="14"/>
      <c r="I32" s="14"/>
      <c r="J32" s="14"/>
      <c r="K32" s="14"/>
      <c r="L32" s="14"/>
      <c r="M32" s="12"/>
      <c r="N32" s="12"/>
      <c r="O32" s="12"/>
      <c r="P32" s="12"/>
      <c r="Q32" s="12"/>
      <c r="R32" s="12"/>
      <c r="S32" s="12"/>
      <c r="T32" s="12"/>
      <c r="U32" s="12"/>
    </row>
    <row r="33" spans="1:21" ht="14.25">
      <c r="A33" s="16"/>
      <c r="B33" s="16"/>
      <c r="C33" s="16"/>
      <c r="D33" s="16"/>
      <c r="E33" s="14"/>
      <c r="F33" s="14"/>
      <c r="G33" s="14"/>
      <c r="H33" s="14"/>
      <c r="I33" s="14"/>
      <c r="J33" s="14"/>
      <c r="K33" s="14"/>
      <c r="L33" s="14"/>
      <c r="M33" s="12"/>
      <c r="N33" s="12"/>
      <c r="O33" s="12"/>
      <c r="P33" s="12"/>
      <c r="Q33" s="12"/>
      <c r="R33" s="12"/>
      <c r="S33" s="12"/>
      <c r="T33" s="12"/>
      <c r="U33" s="12"/>
    </row>
    <row r="34" spans="1:21" ht="14.25">
      <c r="A34" s="16"/>
      <c r="B34" s="16"/>
      <c r="C34" s="16"/>
      <c r="D34" s="16" t="s">
        <v>72</v>
      </c>
      <c r="E34" s="14">
        <f>SUM(E47:E76)/30</f>
        <v>0</v>
      </c>
      <c r="F34" s="17">
        <f>STDEV(E2:E31)</f>
        <v>6.2573652175736738E-2</v>
      </c>
      <c r="G34" s="14">
        <f>SUM(G47:G76)/30</f>
        <v>0</v>
      </c>
      <c r="H34" s="17">
        <f>STDEV(G2:G31)</f>
        <v>6.2573646104456232E-2</v>
      </c>
      <c r="I34" s="10" t="s">
        <v>53</v>
      </c>
      <c r="J34" s="10">
        <v>1730</v>
      </c>
      <c r="K34" s="10">
        <v>805</v>
      </c>
      <c r="L34" s="13">
        <v>0.683921</v>
      </c>
      <c r="M34" s="13"/>
      <c r="N34" s="13">
        <v>0.316079</v>
      </c>
      <c r="O34" s="13"/>
      <c r="P34" s="11" t="s">
        <v>60</v>
      </c>
      <c r="Q34" s="12"/>
      <c r="R34" s="12"/>
      <c r="S34" s="12"/>
      <c r="T34" s="12"/>
      <c r="U34" s="12"/>
    </row>
    <row r="35" spans="1:21" ht="14.25">
      <c r="A35" s="16"/>
      <c r="B35" s="16"/>
      <c r="C35" s="16"/>
      <c r="D35" s="16"/>
      <c r="E35" s="14"/>
      <c r="F35" s="14"/>
      <c r="G35" s="14"/>
      <c r="H35" s="14"/>
      <c r="I35" s="14"/>
      <c r="J35" s="14"/>
      <c r="K35" s="14"/>
      <c r="L35" s="14"/>
      <c r="M35" s="12"/>
      <c r="N35" s="12"/>
      <c r="O35" s="12"/>
      <c r="P35" s="12"/>
      <c r="Q35" s="12"/>
      <c r="R35" s="12"/>
      <c r="S35" s="12"/>
      <c r="T35" s="12"/>
      <c r="U35" s="12"/>
    </row>
    <row r="36" spans="1:21" ht="14.25">
      <c r="A36" s="16"/>
      <c r="B36" s="16"/>
      <c r="C36" s="16"/>
      <c r="D36" s="16"/>
      <c r="E36" s="14"/>
      <c r="F36" s="14"/>
      <c r="G36" s="14"/>
      <c r="H36" s="14"/>
      <c r="I36" s="14"/>
      <c r="J36" s="14"/>
      <c r="K36" s="14"/>
      <c r="L36" s="14"/>
      <c r="M36" s="12"/>
      <c r="N36" s="12"/>
      <c r="O36" s="12"/>
      <c r="P36" s="12"/>
      <c r="Q36" s="12"/>
      <c r="R36" s="12"/>
      <c r="S36" s="12"/>
      <c r="T36" s="12"/>
      <c r="U36" s="12"/>
    </row>
    <row r="37" spans="1:21" ht="14.25">
      <c r="A37" s="16"/>
      <c r="B37" s="16"/>
      <c r="C37" s="16"/>
      <c r="D37" s="16"/>
      <c r="E37" s="14"/>
      <c r="F37" s="14"/>
      <c r="G37" s="14"/>
      <c r="H37" s="14"/>
      <c r="I37" s="14"/>
      <c r="J37" s="14"/>
      <c r="K37" s="14"/>
      <c r="L37" s="14"/>
      <c r="M37" s="12"/>
      <c r="N37" s="12"/>
      <c r="O37" s="12"/>
      <c r="P37" s="12"/>
      <c r="Q37" s="12"/>
      <c r="R37" s="12"/>
      <c r="S37" s="12"/>
      <c r="T37" s="12"/>
      <c r="U37" s="12"/>
    </row>
    <row r="38" spans="1:21" ht="14.25">
      <c r="A38" s="16"/>
      <c r="B38" s="16"/>
      <c r="C38" s="16"/>
      <c r="D38" s="16"/>
      <c r="E38" s="14"/>
      <c r="F38" s="14"/>
      <c r="G38" s="14"/>
      <c r="H38" s="14"/>
      <c r="I38" s="14"/>
      <c r="J38" s="14"/>
      <c r="K38" s="14"/>
      <c r="L38" s="14"/>
      <c r="M38" s="12"/>
      <c r="N38" s="12"/>
      <c r="O38" s="12"/>
      <c r="P38" s="12"/>
      <c r="Q38" s="12"/>
      <c r="R38" s="12"/>
      <c r="S38" s="12"/>
      <c r="T38" s="12"/>
      <c r="U38" s="12"/>
    </row>
    <row r="39" spans="1:21" ht="14.25">
      <c r="A39" s="16"/>
      <c r="B39" s="16"/>
      <c r="C39" s="16"/>
      <c r="D39" s="16"/>
      <c r="E39" s="14"/>
      <c r="F39" s="14"/>
      <c r="G39" s="14"/>
      <c r="H39" s="14"/>
      <c r="I39" s="14"/>
      <c r="J39" s="14"/>
      <c r="K39" s="14"/>
      <c r="L39" s="14"/>
      <c r="M39" s="12"/>
      <c r="N39" s="12"/>
      <c r="O39" s="12"/>
      <c r="P39" s="12"/>
      <c r="Q39" s="12"/>
      <c r="R39" s="12"/>
      <c r="S39" s="12"/>
      <c r="T39" s="12"/>
      <c r="U39" s="12"/>
    </row>
    <row r="40" spans="1:21" ht="14.25">
      <c r="A40" s="16"/>
      <c r="B40" s="16"/>
      <c r="C40" s="16"/>
      <c r="D40" s="16"/>
      <c r="E40" s="14"/>
      <c r="F40" s="14"/>
      <c r="G40" s="14"/>
      <c r="H40" s="14"/>
      <c r="I40" s="14"/>
      <c r="J40" s="14"/>
      <c r="K40" s="14"/>
      <c r="L40" s="14"/>
      <c r="M40" s="12"/>
      <c r="N40" s="12"/>
      <c r="O40" s="12"/>
      <c r="P40" s="12"/>
      <c r="Q40" s="12"/>
      <c r="R40" s="12"/>
      <c r="S40" s="12"/>
      <c r="T40" s="12"/>
      <c r="U40" s="12"/>
    </row>
    <row r="41" spans="1:21" ht="14.25">
      <c r="A41" s="16"/>
      <c r="B41" s="16"/>
      <c r="C41" s="16"/>
      <c r="D41" s="16"/>
      <c r="E41" s="14"/>
      <c r="F41" s="14"/>
      <c r="G41" s="14"/>
      <c r="H41" s="14"/>
      <c r="I41" s="14"/>
      <c r="J41" s="14"/>
      <c r="K41" s="14"/>
      <c r="L41" s="14"/>
      <c r="M41" s="12"/>
      <c r="N41" s="12"/>
      <c r="O41" s="12"/>
      <c r="P41" s="12"/>
      <c r="Q41" s="12"/>
      <c r="R41" s="12"/>
      <c r="S41" s="12"/>
      <c r="T41" s="12"/>
      <c r="U41" s="12"/>
    </row>
    <row r="42" spans="1:21" ht="14.25">
      <c r="A42" s="16"/>
      <c r="B42" s="16"/>
      <c r="C42" s="16"/>
      <c r="D42" s="16"/>
      <c r="E42" s="14"/>
      <c r="F42" s="14"/>
      <c r="G42" s="14"/>
      <c r="H42" s="14"/>
      <c r="I42" s="14"/>
      <c r="J42" s="14"/>
      <c r="K42" s="14"/>
      <c r="L42" s="14"/>
      <c r="M42" s="12"/>
      <c r="N42" s="12"/>
      <c r="O42" s="12"/>
      <c r="P42" s="12"/>
      <c r="Q42" s="12"/>
      <c r="R42" s="12"/>
      <c r="S42" s="12"/>
      <c r="T42" s="12"/>
      <c r="U42" s="12"/>
    </row>
    <row r="43" spans="1:21" ht="14.25">
      <c r="A43" s="16"/>
      <c r="B43" s="16"/>
      <c r="C43" s="16"/>
      <c r="D43" s="16"/>
      <c r="E43" s="14"/>
      <c r="F43" s="14"/>
      <c r="G43" s="14"/>
      <c r="H43" s="14"/>
      <c r="I43" s="14"/>
      <c r="J43" s="14"/>
      <c r="K43" s="14"/>
      <c r="L43" s="14"/>
      <c r="M43" s="12"/>
      <c r="N43" s="12"/>
      <c r="O43" s="12"/>
      <c r="P43" s="12"/>
      <c r="Q43" s="12"/>
      <c r="R43" s="12"/>
      <c r="S43" s="12"/>
      <c r="T43" s="12"/>
      <c r="U43" s="12"/>
    </row>
    <row r="44" spans="1:21" ht="14.25"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</row>
    <row r="45" spans="1:21" ht="14.25"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</row>
    <row r="46" spans="1:21" ht="14.25"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</row>
    <row r="47" spans="1:21" ht="14.25">
      <c r="E47" s="13"/>
      <c r="F47" s="12"/>
      <c r="G47" s="13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</row>
    <row r="48" spans="1:21" ht="14.25">
      <c r="E48" s="13"/>
      <c r="F48" s="12"/>
      <c r="G48" s="13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</row>
    <row r="49" spans="5:21" ht="14.25">
      <c r="E49" s="13"/>
      <c r="F49" s="12"/>
      <c r="G49" s="13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</row>
    <row r="50" spans="5:21" ht="14.25">
      <c r="E50" s="13"/>
      <c r="F50" s="12"/>
      <c r="G50" s="13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</row>
    <row r="51" spans="5:21" ht="14.25">
      <c r="E51" s="13"/>
      <c r="F51" s="12"/>
      <c r="G51" s="13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</row>
    <row r="52" spans="5:21" ht="14.25">
      <c r="E52" s="13"/>
      <c r="F52" s="12"/>
      <c r="G52" s="13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</row>
    <row r="53" spans="5:21" ht="14.25">
      <c r="E53" s="13"/>
      <c r="F53" s="12"/>
      <c r="G53" s="13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</row>
    <row r="54" spans="5:21" ht="14.25">
      <c r="E54" s="13"/>
      <c r="F54" s="12"/>
      <c r="G54" s="13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</row>
    <row r="55" spans="5:21" ht="14.25">
      <c r="E55" s="13"/>
      <c r="F55" s="12"/>
      <c r="G55" s="13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</row>
    <row r="56" spans="5:21" ht="14.25">
      <c r="E56" s="13"/>
      <c r="F56" s="12"/>
      <c r="G56" s="13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</row>
    <row r="57" spans="5:21" ht="14.25">
      <c r="E57" s="13"/>
      <c r="F57" s="12"/>
      <c r="G57" s="13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</row>
    <row r="58" spans="5:21" ht="14.25">
      <c r="E58" s="13"/>
      <c r="F58" s="12"/>
      <c r="G58" s="13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</row>
    <row r="59" spans="5:21" ht="14.25">
      <c r="E59" s="13"/>
      <c r="F59" s="12"/>
      <c r="G59" s="13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</row>
    <row r="60" spans="5:21" ht="14.25">
      <c r="E60" s="13"/>
      <c r="F60" s="12"/>
      <c r="G60" s="13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</row>
    <row r="61" spans="5:21" ht="14.25">
      <c r="E61" s="13"/>
      <c r="F61" s="12"/>
      <c r="G61" s="13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</row>
    <row r="62" spans="5:21" ht="14.25">
      <c r="E62" s="13"/>
      <c r="F62" s="12"/>
      <c r="G62" s="13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</row>
    <row r="63" spans="5:21" ht="14.25">
      <c r="E63" s="13"/>
      <c r="F63" s="12"/>
      <c r="G63" s="13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</row>
    <row r="64" spans="5:21" ht="14.25">
      <c r="E64" s="13"/>
      <c r="F64" s="12"/>
      <c r="G64" s="13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</row>
    <row r="65" spans="5:21" ht="14.25">
      <c r="E65" s="13"/>
      <c r="F65" s="12"/>
      <c r="G65" s="13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</row>
    <row r="66" spans="5:21" ht="14.25">
      <c r="E66" s="13"/>
      <c r="F66" s="12"/>
      <c r="G66" s="13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</row>
    <row r="67" spans="5:21" ht="14.25">
      <c r="E67" s="13"/>
      <c r="F67" s="12"/>
      <c r="G67" s="13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</row>
    <row r="68" spans="5:21" ht="14.25">
      <c r="E68" s="13"/>
      <c r="F68" s="12"/>
      <c r="G68" s="13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</row>
    <row r="69" spans="5:21" ht="14.25">
      <c r="E69" s="13"/>
      <c r="F69" s="12"/>
      <c r="G69" s="13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</row>
    <row r="70" spans="5:21" ht="14.25">
      <c r="E70" s="13"/>
      <c r="F70" s="12"/>
      <c r="G70" s="13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</row>
    <row r="71" spans="5:21" ht="14.25">
      <c r="E71" s="13"/>
      <c r="F71" s="12"/>
      <c r="G71" s="13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</row>
    <row r="72" spans="5:21" ht="14.25">
      <c r="E72" s="13"/>
      <c r="F72" s="12"/>
      <c r="G72" s="13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</row>
    <row r="73" spans="5:21" ht="14.25">
      <c r="E73" s="13"/>
      <c r="F73" s="12"/>
      <c r="G73" s="13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</row>
    <row r="74" spans="5:21" ht="14.25">
      <c r="E74" s="13"/>
      <c r="F74" s="12"/>
      <c r="G74" s="13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</row>
    <row r="75" spans="5:21" ht="14.25">
      <c r="E75" s="13"/>
      <c r="F75" s="12"/>
      <c r="G75" s="13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</row>
    <row r="76" spans="5:21" ht="14.25">
      <c r="E76" s="13"/>
      <c r="F76" s="12"/>
      <c r="G76" s="13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</row>
    <row r="77" spans="5:21" ht="14.25">
      <c r="E77" s="12"/>
      <c r="F77" s="12"/>
      <c r="G77" s="14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</row>
    <row r="78" spans="5:21" ht="14.25">
      <c r="E78" s="12"/>
      <c r="F78" s="12"/>
      <c r="G78" s="14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</row>
    <row r="79" spans="5:21" ht="14.25">
      <c r="E79" s="12"/>
      <c r="F79" s="12"/>
      <c r="G79" s="14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</row>
    <row r="80" spans="5:21" ht="14.25">
      <c r="E80" s="12"/>
      <c r="F80" s="12"/>
      <c r="G80" s="14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</row>
    <row r="81" spans="5:21" ht="14.25">
      <c r="E81" s="12"/>
      <c r="F81" s="12"/>
      <c r="G81" s="14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</row>
    <row r="82" spans="5:21" ht="14.25">
      <c r="E82" s="12"/>
      <c r="F82" s="12"/>
      <c r="G82" s="14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</row>
    <row r="83" spans="5:21" ht="14.25">
      <c r="E83" s="12"/>
      <c r="F83" s="12"/>
      <c r="G83" s="14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</row>
    <row r="84" spans="5:21" ht="14.25">
      <c r="E84" s="12"/>
      <c r="F84" s="12"/>
      <c r="G84" s="14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</row>
    <row r="85" spans="5:21" ht="14.25">
      <c r="E85" s="12"/>
      <c r="F85" s="12"/>
      <c r="G85" s="14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</row>
    <row r="86" spans="5:21" ht="14.25">
      <c r="E86" s="12"/>
      <c r="F86" s="12"/>
      <c r="G86" s="14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</row>
    <row r="87" spans="5:21" ht="14.25">
      <c r="E87" s="12"/>
      <c r="F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</row>
    <row r="88" spans="5:21" ht="14.25">
      <c r="E88" s="12"/>
      <c r="F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</row>
    <row r="89" spans="5:21" ht="14.25">
      <c r="E89" s="12"/>
      <c r="F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</row>
    <row r="90" spans="5:21" ht="14.25">
      <c r="E90" s="12"/>
      <c r="F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</row>
    <row r="91" spans="5:21" ht="14.25">
      <c r="E91" s="12"/>
      <c r="F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</row>
    <row r="92" spans="5:21" ht="14.25">
      <c r="E92" s="12"/>
      <c r="F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</row>
    <row r="93" spans="5:21" ht="14.25">
      <c r="E93" s="12"/>
      <c r="F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</row>
    <row r="94" spans="5:21" ht="14.25">
      <c r="E94" s="12"/>
      <c r="F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</row>
    <row r="95" spans="5:21" ht="14.25">
      <c r="E95" s="12"/>
      <c r="F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</row>
    <row r="96" spans="5:21" ht="14.25">
      <c r="E96" s="12"/>
      <c r="F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</row>
    <row r="97" spans="5:21" ht="14.25"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</row>
    <row r="98" spans="5:21" ht="14.25"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</row>
    <row r="99" spans="5:21" ht="14.25"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</row>
    <row r="100" spans="5:21" ht="14.25"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</row>
    <row r="101" spans="5:21" ht="14.25"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</row>
    <row r="102" spans="5:21" ht="14.25"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</row>
    <row r="103" spans="5:21" ht="14.25"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</row>
    <row r="104" spans="5:21" ht="14.25"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</row>
    <row r="105" spans="5:21" ht="14.25"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</row>
    <row r="106" spans="5:21" ht="14.25"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</row>
    <row r="107" spans="5:21" ht="14.25"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</row>
    <row r="108" spans="5:21" ht="14.25"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</row>
    <row r="109" spans="5:21" ht="14.25"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</row>
    <row r="110" spans="5:21" ht="14.25"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</row>
    <row r="111" spans="5:21" ht="14.25"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</row>
    <row r="112" spans="5:21" ht="14.25"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</row>
    <row r="113" spans="5:21" ht="14.25"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</row>
    <row r="114" spans="5:21" ht="14.25"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</row>
    <row r="115" spans="5:21" ht="14.25"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</row>
    <row r="116" spans="5:21" ht="14.25"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</row>
    <row r="117" spans="5:21" ht="14.25"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</row>
    <row r="118" spans="5:21" ht="14.25"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</row>
    <row r="119" spans="5:21" ht="14.25"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</row>
    <row r="120" spans="5:21" ht="14.25"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</row>
    <row r="121" spans="5:21" ht="14.25"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</row>
    <row r="122" spans="5:21" ht="14.25"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</row>
    <row r="123" spans="5:21" ht="14.25"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</row>
    <row r="124" spans="5:21" ht="14.25"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</row>
    <row r="125" spans="5:21" ht="14.25"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</row>
    <row r="126" spans="5:21" ht="14.25"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</row>
    <row r="127" spans="5:21" ht="14.25"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</row>
    <row r="128" spans="5:21" ht="14.25"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</row>
    <row r="129" spans="5:21" ht="14.25"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</row>
    <row r="130" spans="5:21" ht="14.25"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</row>
    <row r="131" spans="5:21" ht="14.25"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</row>
    <row r="132" spans="5:21" ht="14.25"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</row>
    <row r="133" spans="5:21" ht="14.25"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</row>
    <row r="134" spans="5:21" ht="14.25"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</row>
    <row r="135" spans="5:21" ht="14.25"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</row>
    <row r="136" spans="5:21" ht="14.25"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</row>
    <row r="137" spans="5:21" ht="14.25"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</row>
    <row r="138" spans="5:21" ht="14.25"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</row>
    <row r="139" spans="5:21" ht="14.25"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</row>
    <row r="140" spans="5:21" ht="14.25"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</row>
    <row r="141" spans="5:21" ht="14.25"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</row>
    <row r="142" spans="5:21" ht="14.25"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</row>
    <row r="143" spans="5:21" ht="14.25"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</row>
    <row r="144" spans="5:21" ht="14.25"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</row>
    <row r="145" spans="5:21" ht="14.25"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</row>
    <row r="146" spans="5:21" ht="14.25"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</row>
    <row r="147" spans="5:21" ht="14.25"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</row>
    <row r="148" spans="5:21" ht="14.25"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</row>
    <row r="149" spans="5:21" ht="14.25"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</row>
    <row r="150" spans="5:21" ht="14.25"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</row>
    <row r="151" spans="5:21" ht="14.25"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</row>
    <row r="152" spans="5:21" ht="14.25"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</row>
    <row r="153" spans="5:21" ht="14.25"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</row>
    <row r="154" spans="5:21" ht="14.25"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</row>
    <row r="155" spans="5:21" ht="14.25"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</row>
    <row r="156" spans="5:21" ht="14.25"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</row>
    <row r="157" spans="5:21" ht="14.25"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</row>
    <row r="158" spans="5:21" ht="14.25"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</row>
    <row r="159" spans="5:21" ht="14.25"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</row>
    <row r="160" spans="5:21" ht="14.25"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</row>
    <row r="161" spans="5:21" ht="14.25"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</row>
    <row r="162" spans="5:21" ht="14.25"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</row>
    <row r="163" spans="5:21" ht="14.25"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</row>
    <row r="164" spans="5:21" ht="14.25"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</row>
    <row r="165" spans="5:21" ht="14.25"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</row>
    <row r="166" spans="5:21" ht="14.25"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</row>
    <row r="167" spans="5:21" ht="14.25"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</row>
    <row r="168" spans="5:21" ht="14.25"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</row>
    <row r="169" spans="5:21" ht="14.25"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</row>
    <row r="170" spans="5:21" ht="14.25"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</row>
    <row r="171" spans="5:21" ht="14.25"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</row>
    <row r="172" spans="5:21" ht="14.25"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</row>
    <row r="173" spans="5:21" ht="14.25"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</row>
    <row r="174" spans="5:21" ht="14.25"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</row>
    <row r="175" spans="5:21" ht="14.25"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</row>
    <row r="176" spans="5:21" ht="14.25"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</row>
    <row r="177" spans="5:21" ht="14.25"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</row>
    <row r="178" spans="5:21" ht="14.25"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</row>
    <row r="179" spans="5:21" ht="14.25"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</row>
    <row r="180" spans="5:21" ht="14.25"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</row>
    <row r="181" spans="5:21" ht="14.25"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</row>
    <row r="182" spans="5:21" ht="14.25"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</row>
    <row r="183" spans="5:21" ht="14.25"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</row>
    <row r="184" spans="5:21" ht="14.25"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</row>
    <row r="185" spans="5:21" ht="14.25"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</row>
    <row r="186" spans="5:21" ht="14.25"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</row>
    <row r="187" spans="5:21" ht="14.25"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</row>
    <row r="188" spans="5:21" ht="14.25"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</row>
    <row r="189" spans="5:21" ht="14.25"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</row>
    <row r="190" spans="5:21" ht="14.25"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</row>
    <row r="191" spans="5:21" ht="14.25"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</row>
    <row r="192" spans="5:21" ht="14.25"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</row>
    <row r="193" spans="5:21" ht="14.25"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</row>
    <row r="194" spans="5:21" ht="14.25"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</row>
    <row r="195" spans="5:21" ht="14.25"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</row>
    <row r="196" spans="5:21" ht="14.25"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</row>
    <row r="197" spans="5:21" ht="14.25"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</row>
    <row r="198" spans="5:21" ht="14.25"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</row>
    <row r="199" spans="5:21" ht="14.25"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</row>
    <row r="200" spans="5:21" ht="14.25"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</row>
    <row r="201" spans="5:21" ht="14.25"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</row>
    <row r="202" spans="5:21" ht="14.25"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</row>
    <row r="203" spans="5:21" ht="14.25"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</row>
    <row r="204" spans="5:21" ht="14.25"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</row>
    <row r="205" spans="5:21" ht="14.25"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</row>
    <row r="206" spans="5:21" ht="14.25"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</row>
    <row r="207" spans="5:21" ht="14.25"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</row>
    <row r="208" spans="5:21" ht="14.25"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</row>
    <row r="209" spans="5:21" ht="14.25"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</row>
    <row r="210" spans="5:21" ht="14.25"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</row>
    <row r="211" spans="5:21" ht="14.25"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</row>
    <row r="212" spans="5:21" ht="14.25"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</row>
    <row r="213" spans="5:21" ht="14.25"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</row>
    <row r="214" spans="5:21" ht="14.25"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</row>
    <row r="215" spans="5:21" ht="14.25"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</row>
    <row r="216" spans="5:21" ht="14.25"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</row>
    <row r="217" spans="5:21" ht="14.25"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</row>
    <row r="218" spans="5:21" ht="14.25"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</row>
    <row r="219" spans="5:21" ht="14.25"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</row>
    <row r="220" spans="5:21" ht="14.25"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</row>
    <row r="221" spans="5:21" ht="14.25"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</row>
    <row r="222" spans="5:21" ht="14.25"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</row>
    <row r="223" spans="5:21" ht="14.25"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</row>
    <row r="224" spans="5:21" ht="14.25"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</row>
    <row r="225" spans="5:21" ht="14.25"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</row>
    <row r="226" spans="5:21" ht="14.25"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</row>
    <row r="227" spans="5:21" ht="14.25"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</row>
    <row r="228" spans="5:21" ht="14.25"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</row>
    <row r="229" spans="5:21" ht="14.25"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</row>
    <row r="230" spans="5:21" ht="14.25"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</row>
    <row r="231" spans="5:21" ht="14.25"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</row>
    <row r="232" spans="5:21" ht="14.25"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</row>
    <row r="233" spans="5:21" ht="14.25"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</row>
    <row r="234" spans="5:21" ht="14.25"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</row>
    <row r="235" spans="5:21" ht="14.25"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</row>
    <row r="236" spans="5:21" ht="14.25"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</row>
    <row r="237" spans="5:21" ht="14.25"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</row>
    <row r="238" spans="5:21" ht="14.25"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</row>
    <row r="239" spans="5:21" ht="14.25"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</row>
    <row r="240" spans="5:21" ht="14.25"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</row>
    <row r="241" spans="5:21" ht="14.25"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</row>
    <row r="242" spans="5:21" ht="14.25"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</row>
    <row r="243" spans="5:21" ht="14.25"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</row>
    <row r="244" spans="5:21" ht="14.25"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</row>
    <row r="245" spans="5:21" ht="14.25"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</row>
    <row r="246" spans="5:21" ht="14.25"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</row>
    <row r="247" spans="5:21" ht="14.25"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</row>
    <row r="248" spans="5:21" ht="14.25"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</row>
    <row r="249" spans="5:21" ht="14.25"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</row>
    <row r="250" spans="5:21" ht="14.25"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</row>
    <row r="251" spans="5:21" ht="14.25"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</row>
    <row r="252" spans="5:21" ht="14.25"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</row>
    <row r="253" spans="5:21" ht="14.25"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</row>
    <row r="254" spans="5:21" ht="14.25"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</row>
    <row r="255" spans="5:21" ht="14.25"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</row>
    <row r="256" spans="5:21" ht="14.25"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</row>
    <row r="257" spans="5:21" ht="14.25"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</row>
    <row r="258" spans="5:21" ht="14.25"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</row>
    <row r="259" spans="5:21" ht="14.25"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</row>
    <row r="260" spans="5:21" ht="14.25"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</row>
    <row r="261" spans="5:21" ht="14.25"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</row>
    <row r="262" spans="5:21" ht="14.25"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</row>
    <row r="263" spans="5:21" ht="14.25"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</row>
    <row r="264" spans="5:21" ht="14.25"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</row>
    <row r="265" spans="5:21" ht="14.25"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</row>
    <row r="266" spans="5:21" ht="14.25"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</row>
    <row r="267" spans="5:21" ht="14.25"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</row>
    <row r="268" spans="5:21" ht="14.25"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</row>
    <row r="269" spans="5:21" ht="14.25"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</row>
    <row r="270" spans="5:21" ht="14.25"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</row>
    <row r="271" spans="5:21" ht="14.25"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</row>
    <row r="272" spans="5:21" ht="14.25"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</row>
    <row r="273" spans="5:21" ht="14.25"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</row>
    <row r="274" spans="5:21" ht="14.25"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</row>
    <row r="275" spans="5:21" ht="14.25"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</row>
    <row r="276" spans="5:21" ht="14.25"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</row>
    <row r="277" spans="5:21" ht="14.25"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</row>
    <row r="278" spans="5:21" ht="14.25"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</row>
    <row r="279" spans="5:21" ht="14.25"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</row>
    <row r="280" spans="5:21" ht="14.25"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</row>
    <row r="281" spans="5:21" ht="14.25"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</row>
    <row r="282" spans="5:21" ht="14.25"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</row>
    <row r="283" spans="5:21" ht="14.25"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</row>
    <row r="284" spans="5:21" ht="14.25"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</row>
    <row r="285" spans="5:21" ht="14.25"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</row>
    <row r="286" spans="5:21" ht="14.25"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</row>
    <row r="287" spans="5:21" ht="14.25"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</row>
    <row r="288" spans="5:21" ht="14.25"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</row>
    <row r="289" spans="5:21" ht="14.25"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</row>
    <row r="290" spans="5:21" ht="14.25"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</row>
    <row r="291" spans="5:21" ht="14.25"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</row>
    <row r="292" spans="5:21" ht="14.25"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</row>
    <row r="293" spans="5:21" ht="14.25"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</row>
    <row r="294" spans="5:21" ht="14.25"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</row>
    <row r="295" spans="5:21" ht="14.25"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</row>
    <row r="296" spans="5:21" ht="14.25"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</row>
    <row r="297" spans="5:21" ht="14.25"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</row>
    <row r="298" spans="5:21" ht="14.25"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</row>
    <row r="299" spans="5:21" ht="14.25"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</row>
    <row r="300" spans="5:21" ht="14.25"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</row>
    <row r="301" spans="5:21" ht="14.25"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</row>
    <row r="302" spans="5:21" ht="14.25"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</row>
    <row r="303" spans="5:21" ht="14.25"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</row>
    <row r="304" spans="5:21" ht="14.25"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</row>
    <row r="305" spans="5:21" ht="14.25"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</row>
    <row r="306" spans="5:21" ht="14.25"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</row>
    <row r="307" spans="5:21" ht="14.25"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</row>
    <row r="308" spans="5:21" ht="14.25"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</row>
    <row r="309" spans="5:21" ht="14.25"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</row>
    <row r="310" spans="5:21" ht="14.25"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</row>
    <row r="311" spans="5:21" ht="14.25"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</row>
    <row r="312" spans="5:21" ht="14.25"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</row>
    <row r="313" spans="5:21" ht="14.25"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</row>
    <row r="314" spans="5:21" ht="14.25"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</row>
    <row r="315" spans="5:21" ht="14.25"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</row>
    <row r="316" spans="5:21" ht="14.25"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</row>
    <row r="317" spans="5:21" ht="14.25"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</row>
    <row r="318" spans="5:21" ht="14.25"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</row>
    <row r="319" spans="5:21" ht="14.25"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</row>
    <row r="320" spans="5:21" ht="14.25"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</row>
    <row r="321" spans="5:21" ht="14.25"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</row>
    <row r="322" spans="5:21" ht="14.25"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</row>
    <row r="323" spans="5:21" ht="14.25"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</row>
    <row r="324" spans="5:21" ht="14.25"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</row>
    <row r="325" spans="5:21" ht="14.25"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</row>
    <row r="326" spans="5:21" ht="14.25"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</row>
    <row r="327" spans="5:21" ht="14.25"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</row>
    <row r="328" spans="5:21" ht="14.25"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</row>
    <row r="329" spans="5:21" ht="14.25"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</row>
    <row r="330" spans="5:21" ht="14.25"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</row>
    <row r="331" spans="5:21" ht="14.25"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</row>
    <row r="332" spans="5:21" ht="14.25"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</row>
    <row r="333" spans="5:21" ht="14.25"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</row>
    <row r="334" spans="5:21" ht="14.25"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</row>
    <row r="335" spans="5:21" ht="14.25"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</row>
    <row r="336" spans="5:21" ht="14.25"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</row>
    <row r="337" spans="5:21" ht="14.25"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</row>
    <row r="338" spans="5:21" ht="14.25"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</row>
    <row r="339" spans="5:21" ht="14.25"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</row>
    <row r="340" spans="5:21" ht="14.25"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</row>
    <row r="341" spans="5:21" ht="14.25"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</row>
    <row r="342" spans="5:21" ht="14.25"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</row>
    <row r="343" spans="5:21" ht="14.25"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</row>
    <row r="344" spans="5:21" ht="14.25"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</row>
    <row r="345" spans="5:21" ht="14.25"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</row>
    <row r="346" spans="5:21" ht="14.25"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</row>
    <row r="347" spans="5:21" ht="14.25"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</row>
    <row r="348" spans="5:21" ht="14.25"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</row>
    <row r="349" spans="5:21" ht="14.25"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</row>
    <row r="350" spans="5:21" ht="14.25"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</row>
    <row r="351" spans="5:21" ht="14.25"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</row>
    <row r="352" spans="5:21" ht="14.25"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</row>
    <row r="353" spans="5:21" ht="14.25"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</row>
    <row r="354" spans="5:21" ht="14.25"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</row>
    <row r="355" spans="5:21" ht="14.25"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</row>
    <row r="356" spans="5:21" ht="14.25"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</row>
    <row r="357" spans="5:21" ht="14.25"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</row>
    <row r="358" spans="5:21" ht="14.25"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</row>
    <row r="359" spans="5:21" ht="14.25"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</row>
    <row r="360" spans="5:21" ht="14.25"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</row>
    <row r="361" spans="5:21" ht="14.25"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</row>
    <row r="362" spans="5:21" ht="14.25"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</row>
    <row r="363" spans="5:21" ht="14.25"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</row>
    <row r="364" spans="5:21" ht="14.25"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</row>
    <row r="365" spans="5:21" ht="14.25"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</row>
    <row r="366" spans="5:21" ht="14.25"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</row>
    <row r="367" spans="5:21" ht="14.25"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</row>
    <row r="368" spans="5:21" ht="14.25"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</row>
    <row r="369" spans="5:21" ht="14.25"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</row>
    <row r="370" spans="5:21" ht="14.25"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</row>
    <row r="371" spans="5:21" ht="14.25"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</row>
    <row r="372" spans="5:21" ht="14.25"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</row>
    <row r="373" spans="5:21" ht="14.25"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</row>
    <row r="374" spans="5:21" ht="14.25"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</row>
    <row r="375" spans="5:21" ht="14.25"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</row>
    <row r="376" spans="5:21" ht="14.25"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</row>
    <row r="377" spans="5:21" ht="14.25"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</row>
    <row r="378" spans="5:21" ht="14.25"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</row>
    <row r="379" spans="5:21" ht="14.25"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</row>
    <row r="380" spans="5:21" ht="14.25"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</row>
    <row r="381" spans="5:21" ht="14.25"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</row>
    <row r="382" spans="5:21" ht="14.25"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</row>
    <row r="383" spans="5:21" ht="14.25"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</row>
    <row r="384" spans="5:21" ht="14.25"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</row>
    <row r="385" spans="5:21" ht="14.25"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</row>
    <row r="386" spans="5:21" ht="14.25"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</row>
    <row r="387" spans="5:21" ht="14.25"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</row>
    <row r="388" spans="5:21" ht="14.25"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</row>
    <row r="389" spans="5:21" ht="14.25"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</row>
    <row r="390" spans="5:21" ht="14.25"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</row>
    <row r="391" spans="5:21" ht="14.25"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</row>
    <row r="392" spans="5:21" ht="14.25"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</row>
    <row r="393" spans="5:21" ht="14.25"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</row>
    <row r="394" spans="5:21" ht="14.25"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</row>
    <row r="395" spans="5:21" ht="14.25"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</row>
    <row r="396" spans="5:21" ht="14.25"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</row>
    <row r="397" spans="5:21" ht="14.25"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</row>
    <row r="398" spans="5:21" ht="14.25"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</row>
    <row r="399" spans="5:21" ht="14.25"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</row>
    <row r="400" spans="5:21" ht="14.25"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</row>
    <row r="401" spans="5:21" ht="14.25"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</row>
    <row r="402" spans="5:21" ht="14.25"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</row>
    <row r="403" spans="5:21" ht="14.25"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</row>
    <row r="404" spans="5:21" ht="14.25"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</row>
    <row r="405" spans="5:21" ht="14.25"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</row>
    <row r="406" spans="5:21" ht="14.25"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</row>
    <row r="407" spans="5:21" ht="14.25"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</row>
    <row r="408" spans="5:21" ht="14.25"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</row>
    <row r="409" spans="5:21" ht="14.25"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</row>
    <row r="410" spans="5:21" ht="14.25"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</row>
    <row r="411" spans="5:21" ht="14.25"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</row>
    <row r="412" spans="5:21" ht="14.25"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</row>
    <row r="413" spans="5:21" ht="14.25"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</row>
    <row r="414" spans="5:21" ht="14.25"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</row>
    <row r="415" spans="5:21" ht="14.25"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</row>
    <row r="416" spans="5:21" ht="14.25"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</row>
    <row r="417" spans="5:21" ht="14.25"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</row>
    <row r="418" spans="5:21" ht="14.25"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</row>
    <row r="419" spans="5:21" ht="14.25"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</row>
    <row r="420" spans="5:21" ht="14.25"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</row>
    <row r="421" spans="5:21" ht="14.25"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</row>
    <row r="422" spans="5:21" ht="14.25"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</row>
    <row r="423" spans="5:21" ht="14.25"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</row>
    <row r="424" spans="5:21" ht="14.25"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</row>
    <row r="425" spans="5:21" ht="14.25"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</row>
    <row r="426" spans="5:21" ht="14.25"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</row>
    <row r="427" spans="5:21" ht="14.25"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</row>
    <row r="428" spans="5:21" ht="14.25"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</row>
    <row r="429" spans="5:21" ht="14.25"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</row>
    <row r="430" spans="5:21" ht="14.25"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</row>
    <row r="431" spans="5:21" ht="14.25"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</row>
    <row r="432" spans="5:21" ht="14.25"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</row>
    <row r="433" spans="5:21" ht="14.25"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</row>
    <row r="434" spans="5:21" ht="14.25"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</row>
    <row r="435" spans="5:21" ht="14.25"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</row>
    <row r="436" spans="5:21" ht="14.25"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</row>
    <row r="437" spans="5:21" ht="14.25"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</row>
    <row r="438" spans="5:21" ht="14.25"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</row>
    <row r="439" spans="5:21" ht="14.25"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</row>
    <row r="440" spans="5:21" ht="14.25"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</row>
    <row r="441" spans="5:21" ht="14.25"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</row>
    <row r="442" spans="5:21" ht="14.25"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</row>
    <row r="443" spans="5:21" ht="14.25"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</row>
    <row r="444" spans="5:21" ht="14.25"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</row>
    <row r="445" spans="5:21" ht="14.25"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</row>
    <row r="446" spans="5:21" ht="14.25"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</row>
    <row r="447" spans="5:21" ht="14.25"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</row>
    <row r="448" spans="5:21" ht="14.25"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</row>
    <row r="449" spans="5:21" ht="14.25"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</row>
    <row r="450" spans="5:21" ht="14.25"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</row>
    <row r="451" spans="5:21" ht="14.25"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</row>
    <row r="452" spans="5:21" ht="14.25"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</row>
    <row r="453" spans="5:21" ht="14.25"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</row>
    <row r="454" spans="5:21" ht="14.25"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</row>
    <row r="455" spans="5:21" ht="14.25"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</row>
    <row r="456" spans="5:21" ht="14.25"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</row>
    <row r="457" spans="5:21" ht="14.25"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</row>
    <row r="458" spans="5:21" ht="14.25"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</row>
    <row r="459" spans="5:21" ht="14.25"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</row>
    <row r="460" spans="5:21" ht="14.25"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</row>
    <row r="461" spans="5:21" ht="14.25"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</row>
    <row r="462" spans="5:21" ht="14.25"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</row>
    <row r="463" spans="5:21" ht="14.25"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</row>
    <row r="464" spans="5:21" ht="14.25"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</row>
    <row r="465" spans="5:21" ht="14.25"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</row>
    <row r="466" spans="5:21" ht="14.25"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</row>
    <row r="467" spans="5:21" ht="14.25"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</row>
    <row r="468" spans="5:21" ht="14.25"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</row>
    <row r="469" spans="5:21" ht="14.25"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</row>
    <row r="470" spans="5:21" ht="14.25"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</row>
    <row r="471" spans="5:21" ht="14.25"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</row>
    <row r="472" spans="5:21" ht="14.25"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</row>
    <row r="473" spans="5:21" ht="14.25"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</row>
    <row r="474" spans="5:21" ht="14.25"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</row>
    <row r="475" spans="5:21" ht="14.25"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</row>
    <row r="476" spans="5:21" ht="14.25"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</row>
    <row r="477" spans="5:21" ht="14.25"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</row>
    <row r="478" spans="5:21" ht="14.25"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</row>
    <row r="479" spans="5:21" ht="14.25"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</row>
    <row r="480" spans="5:21" ht="14.25"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</row>
    <row r="481" spans="5:21" ht="14.25"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</row>
    <row r="482" spans="5:21" ht="14.25"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</row>
    <row r="483" spans="5:21" ht="14.25"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</row>
    <row r="484" spans="5:21" ht="14.25"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</row>
    <row r="485" spans="5:21" ht="14.25"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</row>
    <row r="486" spans="5:21" ht="14.25"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</row>
    <row r="487" spans="5:21" ht="14.25"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</row>
    <row r="488" spans="5:21" ht="14.25"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</row>
    <row r="489" spans="5:21" ht="14.25"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</row>
    <row r="490" spans="5:21" ht="14.25"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</row>
    <row r="491" spans="5:21" ht="14.25"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</row>
    <row r="492" spans="5:21" ht="14.25"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</row>
    <row r="493" spans="5:21" ht="14.25"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</row>
    <row r="494" spans="5:21" ht="14.25"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</row>
    <row r="495" spans="5:21" ht="14.25"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</row>
    <row r="496" spans="5:21" ht="14.25"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</row>
    <row r="497" spans="5:21" ht="14.25"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</row>
    <row r="498" spans="5:21" ht="14.25"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</row>
    <row r="499" spans="5:21" ht="14.25"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</row>
    <row r="500" spans="5:21" ht="14.25"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</row>
    <row r="501" spans="5:21" ht="14.25"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</row>
    <row r="502" spans="5:21" ht="14.25"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</row>
    <row r="503" spans="5:21" ht="14.25"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</row>
    <row r="504" spans="5:21" ht="14.25"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</row>
    <row r="505" spans="5:21" ht="14.25"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</row>
    <row r="506" spans="5:21" ht="14.25"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</row>
    <row r="507" spans="5:21" ht="14.25"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</row>
    <row r="508" spans="5:21" ht="14.25"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</row>
    <row r="509" spans="5:21" ht="14.25"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</row>
    <row r="510" spans="5:21" ht="14.25"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</row>
    <row r="511" spans="5:21" ht="14.25"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</row>
    <row r="512" spans="5:21" ht="14.25"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</row>
    <row r="513" spans="5:21" ht="14.25"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</row>
    <row r="514" spans="5:21" ht="14.25"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</row>
    <row r="515" spans="5:21" ht="14.25"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</row>
    <row r="516" spans="5:21" ht="14.25"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</row>
    <row r="517" spans="5:21" ht="14.25"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</row>
    <row r="518" spans="5:21" ht="14.25"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</row>
    <row r="519" spans="5:21" ht="14.25"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</row>
    <row r="520" spans="5:21" ht="14.25"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</row>
    <row r="521" spans="5:21" ht="14.25"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</row>
    <row r="522" spans="5:21" ht="14.25"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</row>
    <row r="523" spans="5:21" ht="14.25"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</row>
    <row r="524" spans="5:21" ht="14.25"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</row>
    <row r="525" spans="5:21" ht="14.25"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</row>
    <row r="526" spans="5:21" ht="14.25"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</row>
    <row r="527" spans="5:21" ht="14.25"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</row>
    <row r="528" spans="5:21" ht="14.25"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</row>
    <row r="529" spans="5:21" ht="14.25"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</row>
    <row r="530" spans="5:21" ht="14.25"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</row>
    <row r="531" spans="5:21" ht="14.25"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</row>
    <row r="532" spans="5:21" ht="14.25"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</row>
    <row r="533" spans="5:21" ht="14.25"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</row>
    <row r="534" spans="5:21" ht="14.25"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</row>
    <row r="535" spans="5:21" ht="14.25"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</row>
    <row r="536" spans="5:21" ht="14.25"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</row>
    <row r="537" spans="5:21" ht="14.25"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</row>
    <row r="538" spans="5:21" ht="14.25"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</row>
    <row r="539" spans="5:21" ht="14.25"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</row>
    <row r="540" spans="5:21" ht="14.25"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</row>
    <row r="541" spans="5:21" ht="14.25"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</row>
    <row r="542" spans="5:21" ht="14.25"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</row>
    <row r="543" spans="5:21" ht="14.25"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</row>
    <row r="544" spans="5:21" ht="14.25"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</row>
    <row r="545" spans="5:21" ht="14.25"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</row>
    <row r="546" spans="5:21" ht="14.25"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</row>
    <row r="547" spans="5:21" ht="14.25"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</row>
    <row r="548" spans="5:21" ht="14.25"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</row>
    <row r="549" spans="5:21" ht="14.25"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</row>
    <row r="550" spans="5:21" ht="14.25"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</row>
    <row r="551" spans="5:21" ht="14.25"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</row>
    <row r="552" spans="5:21" ht="14.25"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</row>
    <row r="553" spans="5:21" ht="14.25"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</row>
    <row r="554" spans="5:21" ht="14.25"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</row>
    <row r="555" spans="5:21" ht="14.25"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</row>
    <row r="556" spans="5:21" ht="14.25"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</row>
    <row r="557" spans="5:21" ht="14.25"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</row>
    <row r="558" spans="5:21" ht="14.25"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</row>
    <row r="559" spans="5:21" ht="14.25"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</row>
    <row r="560" spans="5:21" ht="14.25"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</row>
    <row r="561" spans="5:21" ht="14.25"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</row>
    <row r="562" spans="5:21" ht="14.25"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</row>
    <row r="563" spans="5:21" ht="14.25"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</row>
    <row r="564" spans="5:21" ht="14.25"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</row>
    <row r="565" spans="5:21" ht="14.25"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</row>
    <row r="566" spans="5:21" ht="14.25"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</row>
    <row r="567" spans="5:21" ht="14.25"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</row>
    <row r="568" spans="5:21" ht="14.25"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</row>
    <row r="569" spans="5:21" ht="14.25"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</row>
    <row r="570" spans="5:21" ht="14.25"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</row>
    <row r="571" spans="5:21" ht="14.25"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</row>
    <row r="572" spans="5:21" ht="14.25"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</row>
    <row r="573" spans="5:21" ht="14.25"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</row>
    <row r="574" spans="5:21" ht="14.25"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</row>
    <row r="575" spans="5:21" ht="14.25"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</row>
    <row r="576" spans="5:21" ht="14.25"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</row>
    <row r="577" spans="5:21" ht="14.25"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</row>
    <row r="578" spans="5:21" ht="14.25"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</row>
    <row r="579" spans="5:21" ht="14.25"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</row>
    <row r="580" spans="5:21" ht="14.25"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</row>
    <row r="581" spans="5:21" ht="14.25"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</row>
    <row r="582" spans="5:21" ht="14.25"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</row>
    <row r="583" spans="5:21" ht="14.25"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</row>
    <row r="584" spans="5:21" ht="14.25"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</row>
    <row r="585" spans="5:21" ht="14.25"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</row>
    <row r="586" spans="5:21" ht="14.25"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</row>
    <row r="587" spans="5:21" ht="14.25"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</row>
    <row r="588" spans="5:21" ht="14.25"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</row>
    <row r="589" spans="5:21" ht="14.25"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</row>
    <row r="590" spans="5:21" ht="14.25"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</row>
    <row r="591" spans="5:21" ht="14.25"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</row>
    <row r="592" spans="5:21" ht="14.25"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</row>
    <row r="593" spans="5:21" ht="14.25"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</row>
    <row r="594" spans="5:21" ht="14.25"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</row>
    <row r="595" spans="5:21" ht="14.25"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</row>
    <row r="596" spans="5:21" ht="14.25"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</row>
    <row r="597" spans="5:21" ht="14.25"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</row>
    <row r="598" spans="5:21" ht="14.25"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</row>
    <row r="599" spans="5:21" ht="14.25"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</row>
    <row r="600" spans="5:21" ht="14.25"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</row>
    <row r="601" spans="5:21" ht="14.25"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</row>
    <row r="602" spans="5:21" ht="14.25"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</row>
    <row r="603" spans="5:21" ht="14.25"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</row>
    <row r="604" spans="5:21" ht="14.25"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</row>
    <row r="605" spans="5:21" ht="14.25"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</row>
    <row r="606" spans="5:21" ht="14.25"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</row>
    <row r="607" spans="5:21" ht="14.25"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</row>
    <row r="608" spans="5:21" ht="14.25"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</row>
    <row r="609" spans="5:21" ht="14.25"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</row>
    <row r="610" spans="5:21" ht="14.25"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</row>
    <row r="611" spans="5:21" ht="14.25"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</row>
    <row r="612" spans="5:21" ht="14.25"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</row>
    <row r="613" spans="5:21" ht="14.25"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</row>
    <row r="614" spans="5:21" ht="14.25"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</row>
    <row r="615" spans="5:21" ht="14.25"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</row>
    <row r="616" spans="5:21" ht="14.25"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</row>
    <row r="617" spans="5:21" ht="14.25"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</row>
    <row r="618" spans="5:21" ht="14.25"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</row>
    <row r="619" spans="5:21" ht="14.25"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</row>
    <row r="620" spans="5:21" ht="14.25"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</row>
    <row r="621" spans="5:21" ht="14.25"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</row>
    <row r="622" spans="5:21" ht="14.25"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</row>
    <row r="623" spans="5:21" ht="14.25"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</row>
    <row r="624" spans="5:21" ht="14.25"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</row>
    <row r="625" spans="5:21" ht="14.25"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</row>
    <row r="626" spans="5:21" ht="14.25"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</row>
    <row r="627" spans="5:21" ht="14.25"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</row>
    <row r="628" spans="5:21" ht="14.25"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</row>
    <row r="629" spans="5:21" ht="14.25"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</row>
    <row r="630" spans="5:21" ht="14.25"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</row>
    <row r="631" spans="5:21" ht="14.25"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</row>
    <row r="632" spans="5:21" ht="14.25"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</row>
    <row r="633" spans="5:21" ht="14.25"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</row>
    <row r="634" spans="5:21" ht="14.25"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</row>
    <row r="635" spans="5:21" ht="14.25"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</row>
    <row r="636" spans="5:21" ht="14.25"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</row>
    <row r="637" spans="5:21" ht="14.25"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</row>
    <row r="638" spans="5:21" ht="14.25"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</row>
    <row r="639" spans="5:21" ht="14.25"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</row>
    <row r="640" spans="5:21" ht="14.25"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</row>
    <row r="641" spans="5:21" ht="14.25"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</row>
    <row r="642" spans="5:21" ht="14.25"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</row>
    <row r="643" spans="5:21" ht="14.25"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</row>
    <row r="644" spans="5:21" ht="14.25"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</row>
    <row r="645" spans="5:21" ht="14.25"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</row>
    <row r="646" spans="5:21" ht="14.25"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</row>
    <row r="647" spans="5:21" ht="14.25"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</row>
    <row r="648" spans="5:21" ht="14.25"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</row>
    <row r="649" spans="5:21" ht="14.25"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</row>
    <row r="650" spans="5:21" ht="14.25"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</row>
    <row r="651" spans="5:21" ht="14.25"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</row>
    <row r="652" spans="5:21" ht="14.25"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</row>
    <row r="653" spans="5:21" ht="14.25"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</row>
    <row r="654" spans="5:21" ht="14.25"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</row>
    <row r="655" spans="5:21" ht="14.25"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</row>
    <row r="656" spans="5:21" ht="14.25"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</row>
    <row r="657" spans="5:21" ht="14.25"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</row>
    <row r="658" spans="5:21" ht="14.25"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</row>
    <row r="659" spans="5:21" ht="14.25"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</row>
    <row r="660" spans="5:21" ht="14.25"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</row>
    <row r="661" spans="5:21" ht="14.25"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</row>
    <row r="662" spans="5:21" ht="14.25"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</row>
    <row r="663" spans="5:21" ht="14.25"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</row>
    <row r="664" spans="5:21" ht="14.25"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</row>
    <row r="665" spans="5:21" ht="14.25"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</row>
    <row r="666" spans="5:21" ht="14.25"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</row>
    <row r="667" spans="5:21" ht="14.25"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</row>
    <row r="668" spans="5:21" ht="14.25"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</row>
    <row r="669" spans="5:21" ht="14.25"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</row>
    <row r="670" spans="5:21" ht="14.25"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</row>
    <row r="671" spans="5:21" ht="14.25"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</row>
    <row r="672" spans="5:21" ht="14.25"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</row>
    <row r="673" spans="5:21" ht="14.25"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</row>
    <row r="674" spans="5:21" ht="14.25"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</row>
    <row r="675" spans="5:21" ht="14.25"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</row>
    <row r="676" spans="5:21" ht="14.25"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</row>
    <row r="677" spans="5:21" ht="14.25"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</row>
    <row r="678" spans="5:21" ht="14.25"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</row>
    <row r="679" spans="5:21" ht="14.25"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</row>
    <row r="680" spans="5:21" ht="14.25"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</row>
    <row r="681" spans="5:21" ht="14.25"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</row>
    <row r="682" spans="5:21" ht="14.25"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</row>
    <row r="683" spans="5:21" ht="14.25"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</row>
    <row r="684" spans="5:21" ht="14.25"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</row>
    <row r="685" spans="5:21" ht="14.25"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</row>
    <row r="686" spans="5:21" ht="14.25"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</row>
    <row r="687" spans="5:21" ht="14.25"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</row>
    <row r="688" spans="5:21" ht="14.25"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</row>
    <row r="689" spans="5:21" ht="14.25"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</row>
    <row r="690" spans="5:21" ht="14.25"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</row>
    <row r="691" spans="5:21" ht="14.25"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</row>
    <row r="692" spans="5:21" ht="14.25"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</row>
    <row r="693" spans="5:21" ht="14.25"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</row>
    <row r="694" spans="5:21" ht="14.25"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</row>
    <row r="695" spans="5:21" ht="14.25"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</row>
    <row r="696" spans="5:21" ht="14.25"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</row>
    <row r="697" spans="5:21" ht="14.25"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</row>
    <row r="698" spans="5:21" ht="14.25"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</row>
    <row r="699" spans="5:21" ht="14.25"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</row>
    <row r="700" spans="5:21" ht="14.25"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</row>
    <row r="701" spans="5:21" ht="14.25"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</row>
    <row r="702" spans="5:21" ht="14.25"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</row>
    <row r="703" spans="5:21" ht="14.25"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</row>
    <row r="704" spans="5:21" ht="14.25"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</row>
    <row r="705" spans="5:21" ht="14.25"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</row>
    <row r="706" spans="5:21" ht="14.25"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</row>
    <row r="707" spans="5:21" ht="14.25"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</row>
    <row r="708" spans="5:21" ht="14.25"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</row>
    <row r="709" spans="5:21" ht="14.25"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</row>
    <row r="710" spans="5:21" ht="14.25"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</row>
    <row r="711" spans="5:21" ht="14.25"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</row>
    <row r="712" spans="5:21" ht="14.25"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</row>
    <row r="713" spans="5:21" ht="14.25"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</row>
    <row r="714" spans="5:21" ht="14.25"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</row>
    <row r="715" spans="5:21" ht="14.25"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</row>
    <row r="716" spans="5:21" ht="14.25"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</row>
    <row r="717" spans="5:21" ht="14.25"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</row>
    <row r="718" spans="5:21" ht="14.25"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</row>
    <row r="719" spans="5:21" ht="14.25"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</row>
    <row r="720" spans="5:21" ht="14.25"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</row>
    <row r="721" spans="5:21" ht="14.25"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</row>
    <row r="722" spans="5:21" ht="14.25"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</row>
    <row r="723" spans="5:21" ht="14.25"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</row>
    <row r="724" spans="5:21" ht="14.25"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</row>
    <row r="725" spans="5:21" ht="14.25"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</row>
    <row r="726" spans="5:21" ht="14.25"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</row>
    <row r="727" spans="5:21" ht="14.25"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</row>
    <row r="728" spans="5:21" ht="14.25"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</row>
    <row r="729" spans="5:21" ht="14.25"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</row>
    <row r="730" spans="5:21" ht="14.25"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</row>
    <row r="731" spans="5:21" ht="14.25"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</row>
    <row r="732" spans="5:21" ht="14.25"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</row>
    <row r="733" spans="5:21" ht="14.25"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</row>
    <row r="734" spans="5:21" ht="14.25"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</row>
    <row r="735" spans="5:21" ht="14.25"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</row>
    <row r="736" spans="5:21" ht="14.25"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</row>
    <row r="737" spans="5:21" ht="14.25"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</row>
    <row r="738" spans="5:21" ht="14.25"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</row>
    <row r="739" spans="5:21" ht="14.25"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</row>
    <row r="740" spans="5:21" ht="14.25"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</row>
    <row r="741" spans="5:21" ht="14.25"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</row>
    <row r="742" spans="5:21" ht="14.25"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</row>
    <row r="743" spans="5:21" ht="14.25"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</row>
    <row r="744" spans="5:21" ht="14.25"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</row>
    <row r="745" spans="5:21" ht="14.25"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</row>
    <row r="746" spans="5:21" ht="14.25"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</row>
    <row r="747" spans="5:21" ht="14.25"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</row>
    <row r="748" spans="5:21" ht="14.25"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</row>
    <row r="749" spans="5:21" ht="14.25"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</row>
    <row r="750" spans="5:21" ht="14.25"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</row>
    <row r="751" spans="5:21" ht="14.25"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</row>
    <row r="752" spans="5:21" ht="14.25"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</row>
    <row r="753" spans="5:21" ht="14.25"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</row>
    <row r="754" spans="5:21" ht="14.25"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</row>
    <row r="755" spans="5:21" ht="14.25"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</row>
    <row r="756" spans="5:21" ht="14.25"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</row>
    <row r="757" spans="5:21" ht="14.25"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</row>
    <row r="758" spans="5:21" ht="14.25"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</row>
    <row r="759" spans="5:21" ht="14.25"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</row>
    <row r="760" spans="5:21" ht="14.25"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</row>
    <row r="761" spans="5:21" ht="14.25"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</row>
    <row r="762" spans="5:21" ht="14.25"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</row>
    <row r="763" spans="5:21" ht="14.25"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</row>
    <row r="764" spans="5:21" ht="14.25"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</row>
    <row r="765" spans="5:21" ht="14.25"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</row>
    <row r="766" spans="5:21" ht="14.25"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</row>
    <row r="767" spans="5:21" ht="14.25"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</row>
    <row r="768" spans="5:21" ht="14.25"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</row>
    <row r="769" spans="5:21" ht="14.25"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</row>
    <row r="770" spans="5:21" ht="14.25"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</row>
    <row r="771" spans="5:21" ht="14.25"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</row>
    <row r="772" spans="5:21" ht="14.25"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</row>
    <row r="773" spans="5:21" ht="14.25"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</row>
    <row r="774" spans="5:21" ht="14.25"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</row>
    <row r="775" spans="5:21" ht="14.25"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</row>
    <row r="776" spans="5:21" ht="14.25"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</row>
    <row r="777" spans="5:21" ht="14.25"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</row>
    <row r="778" spans="5:21" ht="14.25"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</row>
    <row r="779" spans="5:21" ht="14.25"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</row>
    <row r="780" spans="5:21" ht="14.25"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</row>
    <row r="781" spans="5:21" ht="14.25"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</row>
    <row r="782" spans="5:21" ht="14.25"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</row>
    <row r="783" spans="5:21" ht="14.25"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</row>
    <row r="784" spans="5:21" ht="14.25"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</row>
    <row r="785" spans="5:21" ht="14.25"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</row>
    <row r="786" spans="5:21" ht="14.25"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</row>
    <row r="787" spans="5:21" ht="14.25"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</row>
    <row r="788" spans="5:21" ht="14.25"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</row>
    <row r="789" spans="5:21" ht="14.25"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</row>
    <row r="790" spans="5:21" ht="14.25"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</row>
    <row r="791" spans="5:21" ht="14.25"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</row>
    <row r="792" spans="5:21" ht="14.25"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</row>
    <row r="793" spans="5:21" ht="14.25"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</row>
    <row r="794" spans="5:21" ht="14.25"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</row>
    <row r="795" spans="5:21" ht="14.25"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</row>
    <row r="796" spans="5:21" ht="14.25"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</row>
    <row r="797" spans="5:21" ht="14.25"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</row>
    <row r="798" spans="5:21" ht="14.25"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</row>
    <row r="799" spans="5:21" ht="14.25"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</row>
    <row r="800" spans="5:21" ht="14.25"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</row>
    <row r="801" spans="5:21" ht="14.25"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</row>
    <row r="802" spans="5:21" ht="14.25"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</row>
    <row r="803" spans="5:21" ht="14.25"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</row>
    <row r="804" spans="5:21" ht="14.25"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</row>
    <row r="805" spans="5:21" ht="14.25"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</row>
    <row r="806" spans="5:21" ht="14.25"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</row>
    <row r="807" spans="5:21" ht="14.25"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</row>
    <row r="808" spans="5:21" ht="14.25"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</row>
    <row r="809" spans="5:21" ht="14.25"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</row>
    <row r="810" spans="5:21" ht="14.25"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</row>
    <row r="811" spans="5:21" ht="14.25"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</row>
    <row r="812" spans="5:21" ht="14.25"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</row>
    <row r="813" spans="5:21" ht="14.25"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</row>
    <row r="814" spans="5:21" ht="14.25"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</row>
    <row r="815" spans="5:21" ht="14.25"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</row>
    <row r="816" spans="5:21" ht="14.25"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</row>
    <row r="817" spans="5:21" ht="14.25"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</row>
    <row r="818" spans="5:21" ht="14.25"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</row>
    <row r="819" spans="5:21" ht="14.25"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</row>
    <row r="820" spans="5:21" ht="14.25"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</row>
    <row r="821" spans="5:21" ht="14.25"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</row>
    <row r="822" spans="5:21" ht="14.25"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</row>
    <row r="823" spans="5:21" ht="14.25"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</row>
    <row r="824" spans="5:21" ht="14.25"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</row>
    <row r="825" spans="5:21" ht="14.25"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</row>
    <row r="826" spans="5:21" ht="14.25"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</row>
    <row r="827" spans="5:21" ht="14.25"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</row>
    <row r="828" spans="5:21" ht="14.25"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</row>
    <row r="829" spans="5:21" ht="14.25"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</row>
    <row r="830" spans="5:21" ht="14.25"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</row>
    <row r="831" spans="5:21" ht="14.25"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</row>
    <row r="832" spans="5:21" ht="14.25"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</row>
    <row r="833" spans="5:21" ht="14.25"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</row>
    <row r="834" spans="5:21" ht="14.25"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</row>
    <row r="835" spans="5:21" ht="14.25"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</row>
    <row r="836" spans="5:21" ht="14.25"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</row>
    <row r="837" spans="5:21" ht="14.25"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</row>
    <row r="838" spans="5:21" ht="14.25"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</row>
    <row r="839" spans="5:21" ht="14.25"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</row>
    <row r="840" spans="5:21" ht="14.25"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</row>
    <row r="841" spans="5:21" ht="14.25"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</row>
    <row r="842" spans="5:21" ht="14.25"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</row>
    <row r="843" spans="5:21" ht="14.25"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</row>
    <row r="844" spans="5:21" ht="14.25"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</row>
    <row r="845" spans="5:21" ht="14.25"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</row>
    <row r="846" spans="5:21" ht="14.25"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</row>
    <row r="847" spans="5:21" ht="14.25"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</row>
    <row r="848" spans="5:21" ht="14.25"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</row>
    <row r="849" spans="5:21" ht="14.25"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</row>
    <row r="850" spans="5:21" ht="14.25"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</row>
    <row r="851" spans="5:21" ht="14.25"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</row>
    <row r="852" spans="5:21" ht="14.25"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</row>
    <row r="853" spans="5:21" ht="14.25"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</row>
    <row r="854" spans="5:21" ht="14.25"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</row>
    <row r="855" spans="5:21" ht="14.25"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</row>
    <row r="856" spans="5:21" ht="14.25"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</row>
    <row r="857" spans="5:21" ht="14.25"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</row>
    <row r="858" spans="5:21" ht="14.25"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</row>
    <row r="859" spans="5:21" ht="14.25"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</row>
    <row r="860" spans="5:21" ht="14.25"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</row>
    <row r="861" spans="5:21" ht="14.25"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</row>
    <row r="862" spans="5:21" ht="14.25"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</row>
    <row r="863" spans="5:21" ht="14.25"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</row>
    <row r="864" spans="5:21" ht="14.25"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</row>
    <row r="865" spans="5:21" ht="14.25"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</row>
    <row r="866" spans="5:21" ht="14.25"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</row>
    <row r="867" spans="5:21" ht="14.25"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</row>
    <row r="868" spans="5:21" ht="14.25"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</row>
    <row r="869" spans="5:21" ht="14.25"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</row>
    <row r="870" spans="5:21" ht="14.25"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</row>
    <row r="871" spans="5:21" ht="14.25"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</row>
    <row r="872" spans="5:21" ht="14.25"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</row>
    <row r="873" spans="5:21" ht="14.25"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</row>
    <row r="874" spans="5:21" ht="14.25"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</row>
    <row r="875" spans="5:21" ht="14.25"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</row>
    <row r="876" spans="5:21" ht="14.25"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</row>
    <row r="877" spans="5:21" ht="14.25"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</row>
    <row r="878" spans="5:21" ht="14.25"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</row>
    <row r="879" spans="5:21" ht="14.25"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</row>
    <row r="880" spans="5:21" ht="14.25"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</row>
    <row r="881" spans="5:21" ht="14.25"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</row>
    <row r="882" spans="5:21" ht="14.25"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</row>
    <row r="883" spans="5:21" ht="14.25"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</row>
    <row r="884" spans="5:21" ht="14.25"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</row>
    <row r="885" spans="5:21" ht="14.25"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</row>
    <row r="886" spans="5:21" ht="14.25"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</row>
    <row r="887" spans="5:21" ht="14.25"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</row>
    <row r="888" spans="5:21" ht="14.25"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</row>
    <row r="889" spans="5:21" ht="14.25"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</row>
    <row r="890" spans="5:21" ht="14.25"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</row>
    <row r="891" spans="5:21" ht="14.25"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</row>
    <row r="892" spans="5:21" ht="14.25"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</row>
    <row r="893" spans="5:21" ht="14.25"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</row>
    <row r="894" spans="5:21" ht="14.25"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</row>
    <row r="895" spans="5:21" ht="14.25"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</row>
    <row r="896" spans="5:21" ht="14.25"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</row>
    <row r="897" spans="5:21" ht="14.25"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</row>
    <row r="898" spans="5:21" ht="14.25"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</row>
    <row r="899" spans="5:21" ht="14.25"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</row>
    <row r="900" spans="5:21" ht="14.25"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</row>
    <row r="901" spans="5:21" ht="14.25"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</row>
    <row r="902" spans="5:21" ht="14.25"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</row>
    <row r="903" spans="5:21" ht="14.25"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</row>
    <row r="904" spans="5:21" ht="14.25"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</row>
    <row r="905" spans="5:21" ht="14.25"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</row>
    <row r="906" spans="5:21" ht="14.25"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</row>
    <row r="907" spans="5:21" ht="14.25"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</row>
    <row r="908" spans="5:21" ht="14.25"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</row>
    <row r="909" spans="5:21" ht="14.25"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</row>
    <row r="910" spans="5:21" ht="14.25"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</row>
    <row r="911" spans="5:21" ht="14.25"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</row>
    <row r="912" spans="5:21" ht="14.25"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</row>
    <row r="913" spans="5:21" ht="14.25"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</row>
    <row r="914" spans="5:21" ht="14.25"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</row>
    <row r="915" spans="5:21" ht="14.25"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</row>
    <row r="916" spans="5:21" ht="14.25"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</row>
    <row r="917" spans="5:21" ht="14.25"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</row>
    <row r="918" spans="5:21" ht="14.25"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</row>
    <row r="919" spans="5:21" ht="14.25"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</row>
    <row r="920" spans="5:21" ht="14.25"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</row>
    <row r="921" spans="5:21" ht="14.25"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</row>
    <row r="922" spans="5:21" ht="14.25"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</row>
    <row r="923" spans="5:21" ht="14.25"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</row>
    <row r="924" spans="5:21" ht="14.25"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</row>
    <row r="925" spans="5:21" ht="14.25"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</row>
    <row r="926" spans="5:21" ht="14.25"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</row>
    <row r="927" spans="5:21" ht="14.25"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</row>
    <row r="928" spans="5:21" ht="14.25"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</row>
    <row r="929" spans="5:21" ht="14.25"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</row>
    <row r="930" spans="5:21" ht="14.25"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</row>
    <row r="931" spans="5:21" ht="14.25"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</row>
    <row r="932" spans="5:21" ht="14.25"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</row>
    <row r="933" spans="5:21" ht="14.25"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</row>
    <row r="934" spans="5:21" ht="14.25"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</row>
    <row r="935" spans="5:21" ht="14.25"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</row>
    <row r="936" spans="5:21" ht="14.25"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</row>
    <row r="937" spans="5:21" ht="14.25"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</row>
    <row r="938" spans="5:21" ht="14.25"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</row>
    <row r="939" spans="5:21" ht="14.25"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</row>
    <row r="940" spans="5:21" ht="14.25"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</row>
    <row r="941" spans="5:21" ht="14.25"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</row>
    <row r="942" spans="5:21" ht="14.25"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</row>
    <row r="943" spans="5:21" ht="14.25"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</row>
    <row r="944" spans="5:21" ht="14.25"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</row>
    <row r="945" spans="5:21" ht="14.25"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</row>
    <row r="946" spans="5:21" ht="14.25"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</row>
    <row r="947" spans="5:21" ht="14.25"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</row>
    <row r="948" spans="5:21" ht="14.25"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</row>
    <row r="949" spans="5:21" ht="14.25"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</row>
    <row r="950" spans="5:21" ht="14.25"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</row>
    <row r="951" spans="5:21" ht="14.25"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</row>
    <row r="952" spans="5:21" ht="14.25"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</row>
    <row r="953" spans="5:21" ht="14.25"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</row>
    <row r="954" spans="5:21" ht="14.25"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</row>
    <row r="955" spans="5:21" ht="14.25"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</row>
    <row r="956" spans="5:21" ht="14.25"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</row>
    <row r="957" spans="5:21" ht="14.25"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</row>
    <row r="958" spans="5:21" ht="14.25"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</row>
    <row r="959" spans="5:21" ht="14.25"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</row>
    <row r="960" spans="5:21" ht="14.25"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</row>
    <row r="961" spans="5:21" ht="14.25"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</row>
    <row r="962" spans="5:21" ht="14.25"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</row>
    <row r="963" spans="5:21" ht="14.25"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</row>
    <row r="964" spans="5:21" ht="14.25"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</row>
    <row r="965" spans="5:21" ht="14.25"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</row>
    <row r="966" spans="5:21" ht="14.25"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</row>
    <row r="967" spans="5:21" ht="14.25"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</row>
    <row r="968" spans="5:21" ht="14.25"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</row>
    <row r="969" spans="5:21" ht="14.25"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</row>
    <row r="970" spans="5:21" ht="14.25"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</row>
  </sheetData>
  <pageMargins left="0.511811024" right="0.511811024" top="0.78740157499999996" bottom="0.78740157499999996" header="0.31496062000000002" footer="0.31496062000000002"/>
  <pageSetup orientation="portrait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Y1000"/>
  <sheetViews>
    <sheetView topLeftCell="E1" workbookViewId="0">
      <selection activeCell="F25" sqref="F25"/>
    </sheetView>
  </sheetViews>
  <sheetFormatPr defaultColWidth="14.5" defaultRowHeight="15" customHeight="1"/>
  <cols>
    <col min="3" max="4" width="30.5" customWidth="1"/>
    <col min="5" max="5" width="24.5" customWidth="1"/>
    <col min="6" max="6" width="21" customWidth="1"/>
    <col min="7" max="7" width="21.5" customWidth="1"/>
    <col min="9" max="9" width="19.875" customWidth="1"/>
  </cols>
  <sheetData>
    <row r="1" spans="1:25" ht="15" customHeight="1">
      <c r="A1" s="3" t="s">
        <v>0</v>
      </c>
      <c r="B1" s="3" t="s">
        <v>1</v>
      </c>
      <c r="C1" s="3" t="s">
        <v>62</v>
      </c>
      <c r="D1" s="3" t="s">
        <v>61</v>
      </c>
      <c r="E1" s="3" t="s">
        <v>63</v>
      </c>
      <c r="F1" s="3" t="s">
        <v>64</v>
      </c>
      <c r="G1" s="3" t="s">
        <v>65</v>
      </c>
      <c r="H1" s="3"/>
      <c r="I1" s="3" t="s">
        <v>66</v>
      </c>
      <c r="J1" s="3"/>
      <c r="K1" s="3"/>
      <c r="L1" s="4"/>
      <c r="M1" s="4"/>
      <c r="N1" s="4" t="s">
        <v>65</v>
      </c>
      <c r="O1" s="4"/>
      <c r="P1" s="4" t="s">
        <v>66</v>
      </c>
      <c r="Q1" s="4"/>
      <c r="R1" s="4"/>
      <c r="S1" s="4"/>
      <c r="T1" s="4"/>
      <c r="Y1" s="5"/>
    </row>
    <row r="2" spans="1:25" ht="15" customHeight="1">
      <c r="A2" s="3" t="s">
        <v>2</v>
      </c>
      <c r="B2" s="6" t="s">
        <v>7</v>
      </c>
      <c r="C2" s="6" t="s">
        <v>8</v>
      </c>
      <c r="D2" s="6" t="s">
        <v>9</v>
      </c>
      <c r="E2" s="6" t="s">
        <v>10</v>
      </c>
      <c r="F2" s="6" t="s">
        <v>11</v>
      </c>
      <c r="G2" s="6">
        <f t="shared" ref="G2:G31" si="0">E2/C2</f>
        <v>0.57692307692307687</v>
      </c>
      <c r="H2" s="7"/>
      <c r="I2" s="6">
        <f t="shared" ref="I2:I31" si="1">F2/D2</f>
        <v>0.74545454545454548</v>
      </c>
      <c r="J2" s="7"/>
      <c r="K2" s="4"/>
      <c r="L2" s="4"/>
      <c r="M2" s="4"/>
      <c r="N2" s="3" t="s">
        <v>60</v>
      </c>
      <c r="O2" s="3" t="s">
        <v>3</v>
      </c>
      <c r="P2" s="3" t="s">
        <v>60</v>
      </c>
      <c r="Q2" s="3" t="s">
        <v>3</v>
      </c>
      <c r="R2" s="4"/>
      <c r="S2" s="3" t="s">
        <v>4</v>
      </c>
      <c r="T2" s="4"/>
      <c r="Y2" s="5"/>
    </row>
    <row r="3" spans="1:25" ht="15" customHeight="1">
      <c r="A3" s="3" t="s">
        <v>2</v>
      </c>
      <c r="B3" s="6" t="s">
        <v>12</v>
      </c>
      <c r="C3" s="6" t="s">
        <v>13</v>
      </c>
      <c r="D3" s="6" t="s">
        <v>14</v>
      </c>
      <c r="E3" s="6" t="s">
        <v>15</v>
      </c>
      <c r="F3" s="6" t="s">
        <v>16</v>
      </c>
      <c r="G3" s="6">
        <f t="shared" si="0"/>
        <v>0.66666666666666663</v>
      </c>
      <c r="H3" s="7"/>
      <c r="I3" s="6">
        <f t="shared" si="1"/>
        <v>0.59259259259259256</v>
      </c>
      <c r="J3" s="7"/>
      <c r="K3" s="4"/>
      <c r="M3" s="3" t="s">
        <v>2</v>
      </c>
      <c r="N3" s="19">
        <f>SUM(G2:G11)/10</f>
        <v>0.63837002218461181</v>
      </c>
      <c r="O3" s="19">
        <f>STDEV(G2:G11)</f>
        <v>6.5191814911119111E-2</v>
      </c>
      <c r="P3" s="19">
        <f>SUM(I2:I11)/10</f>
        <v>0.64546359400806841</v>
      </c>
      <c r="Q3" s="19">
        <f>STDEV(I2:I12)</f>
        <v>9.3766263028847718E-2</v>
      </c>
      <c r="R3" s="4"/>
      <c r="S3" s="6" t="s">
        <v>17</v>
      </c>
      <c r="T3" s="4"/>
      <c r="Y3" s="5"/>
    </row>
    <row r="4" spans="1:25" ht="15" customHeight="1">
      <c r="A4" s="3" t="s">
        <v>2</v>
      </c>
      <c r="B4" s="6" t="s">
        <v>18</v>
      </c>
      <c r="C4" s="6" t="s">
        <v>13</v>
      </c>
      <c r="D4" s="6" t="s">
        <v>19</v>
      </c>
      <c r="E4" s="6" t="s">
        <v>15</v>
      </c>
      <c r="F4" s="6" t="s">
        <v>15</v>
      </c>
      <c r="G4" s="6">
        <f t="shared" si="0"/>
        <v>0.66666666666666663</v>
      </c>
      <c r="H4" s="7"/>
      <c r="I4" s="6">
        <f t="shared" si="1"/>
        <v>0.69387755102040816</v>
      </c>
      <c r="J4" s="7"/>
      <c r="K4" s="4"/>
      <c r="M4" s="3" t="s">
        <v>5</v>
      </c>
      <c r="N4" s="20">
        <f>SUM(G12:G21)/10</f>
        <v>0.73135006565082838</v>
      </c>
      <c r="O4" s="20">
        <f>STDEV(G12:G21)</f>
        <v>6.0850663228767282E-2</v>
      </c>
      <c r="P4" s="20">
        <f>SUM(I12:I21)/10</f>
        <v>0.7176337974191942</v>
      </c>
      <c r="Q4" s="20">
        <f>STDEV(I12:I21)</f>
        <v>7.3682526765853532E-2</v>
      </c>
      <c r="R4" s="4"/>
      <c r="S4" s="6" t="s">
        <v>20</v>
      </c>
      <c r="T4" s="4"/>
      <c r="Y4" s="5"/>
    </row>
    <row r="5" spans="1:25" ht="15" customHeight="1">
      <c r="A5" s="3" t="s">
        <v>2</v>
      </c>
      <c r="B5" s="6" t="s">
        <v>21</v>
      </c>
      <c r="C5" s="6" t="s">
        <v>22</v>
      </c>
      <c r="D5" s="6" t="s">
        <v>8</v>
      </c>
      <c r="E5" s="6" t="s">
        <v>10</v>
      </c>
      <c r="F5" s="6" t="s">
        <v>10</v>
      </c>
      <c r="G5" s="6">
        <f t="shared" si="0"/>
        <v>0.68181818181818177</v>
      </c>
      <c r="H5" s="7"/>
      <c r="I5" s="6">
        <f t="shared" si="1"/>
        <v>0.57692307692307687</v>
      </c>
      <c r="J5" s="7"/>
      <c r="K5" s="4"/>
      <c r="M5" s="3" t="s">
        <v>6</v>
      </c>
      <c r="N5" s="20">
        <f>SUM(G22:G31)/10</f>
        <v>0.73526171018431086</v>
      </c>
      <c r="O5" s="20">
        <f>STDEV(G22:G31)</f>
        <v>7.8857404138021073E-2</v>
      </c>
      <c r="P5" s="20">
        <f>SUM(I22:I31)/10</f>
        <v>0.6369779443308855</v>
      </c>
      <c r="Q5" s="20">
        <f>STDEV(I22:I31)</f>
        <v>7.8367410278315119E-2</v>
      </c>
      <c r="R5" s="4"/>
      <c r="S5" s="6" t="s">
        <v>23</v>
      </c>
      <c r="T5" s="4"/>
      <c r="Y5" s="5"/>
    </row>
    <row r="6" spans="1:25" ht="15" customHeight="1">
      <c r="A6" s="3" t="s">
        <v>2</v>
      </c>
      <c r="B6" s="6" t="s">
        <v>24</v>
      </c>
      <c r="C6" s="6" t="s">
        <v>8</v>
      </c>
      <c r="D6" s="6" t="s">
        <v>25</v>
      </c>
      <c r="E6" s="6" t="s">
        <v>26</v>
      </c>
      <c r="F6" s="6" t="s">
        <v>27</v>
      </c>
      <c r="G6" s="6">
        <f t="shared" si="0"/>
        <v>0.67307692307692313</v>
      </c>
      <c r="H6" s="7"/>
      <c r="I6" s="6">
        <f t="shared" si="1"/>
        <v>0.54716981132075471</v>
      </c>
      <c r="J6" s="7"/>
      <c r="K6" s="4"/>
      <c r="L6" s="4"/>
      <c r="M6" s="4"/>
      <c r="N6" s="4"/>
      <c r="O6" s="4"/>
      <c r="P6" s="4"/>
      <c r="Q6" s="4"/>
      <c r="R6" s="4"/>
      <c r="S6" s="4"/>
      <c r="T6" s="4"/>
      <c r="Y6" s="5"/>
    </row>
    <row r="7" spans="1:25" ht="15" customHeight="1">
      <c r="A7" s="3" t="s">
        <v>2</v>
      </c>
      <c r="B7" s="6" t="s">
        <v>28</v>
      </c>
      <c r="C7" s="6" t="s">
        <v>29</v>
      </c>
      <c r="D7" s="6" t="s">
        <v>25</v>
      </c>
      <c r="E7" s="6" t="s">
        <v>27</v>
      </c>
      <c r="F7" s="6" t="s">
        <v>27</v>
      </c>
      <c r="G7" s="6">
        <f t="shared" si="0"/>
        <v>0.61702127659574468</v>
      </c>
      <c r="H7" s="7"/>
      <c r="I7" s="6">
        <f t="shared" si="1"/>
        <v>0.54716981132075471</v>
      </c>
      <c r="J7" s="7"/>
      <c r="K7" s="4"/>
      <c r="L7" s="4"/>
      <c r="M7" s="4"/>
      <c r="N7" s="4"/>
      <c r="O7" s="4"/>
      <c r="P7" s="4"/>
      <c r="Q7" s="4"/>
      <c r="R7" s="4"/>
      <c r="S7" s="4"/>
      <c r="T7" s="4"/>
      <c r="Y7" s="5"/>
    </row>
    <row r="8" spans="1:25" ht="15" customHeight="1">
      <c r="A8" s="3" t="s">
        <v>2</v>
      </c>
      <c r="B8" s="6" t="s">
        <v>30</v>
      </c>
      <c r="C8" s="6" t="s">
        <v>31</v>
      </c>
      <c r="D8" s="6" t="s">
        <v>32</v>
      </c>
      <c r="E8" s="6" t="s">
        <v>33</v>
      </c>
      <c r="F8" s="6" t="s">
        <v>34</v>
      </c>
      <c r="G8" s="6">
        <f t="shared" si="0"/>
        <v>0.6216216216216216</v>
      </c>
      <c r="H8" s="7"/>
      <c r="I8" s="6">
        <f t="shared" si="1"/>
        <v>0.7</v>
      </c>
      <c r="J8" s="7"/>
      <c r="K8" s="7"/>
      <c r="L8" s="7"/>
      <c r="M8" s="4"/>
      <c r="N8" s="3"/>
      <c r="O8" s="4"/>
      <c r="P8" s="4"/>
      <c r="Q8" s="4"/>
      <c r="R8" s="4"/>
      <c r="S8" s="4"/>
      <c r="T8" s="4"/>
      <c r="U8" s="4"/>
      <c r="V8" s="4"/>
      <c r="W8" s="4"/>
      <c r="X8" s="4"/>
      <c r="Y8" s="5"/>
    </row>
    <row r="9" spans="1:25" ht="15" customHeight="1">
      <c r="A9" s="3" t="s">
        <v>2</v>
      </c>
      <c r="B9" s="6" t="s">
        <v>35</v>
      </c>
      <c r="C9" s="6" t="s">
        <v>8</v>
      </c>
      <c r="D9" s="6" t="s">
        <v>8</v>
      </c>
      <c r="E9" s="6" t="s">
        <v>31</v>
      </c>
      <c r="F9" s="6" t="s">
        <v>34</v>
      </c>
      <c r="G9" s="6">
        <f t="shared" si="0"/>
        <v>0.71153846153846156</v>
      </c>
      <c r="H9" s="7"/>
      <c r="I9" s="6">
        <f t="shared" si="1"/>
        <v>0.53846153846153844</v>
      </c>
      <c r="J9" s="7"/>
      <c r="K9" s="7"/>
      <c r="L9" s="7"/>
      <c r="M9" s="4"/>
      <c r="N9" s="3"/>
      <c r="O9" s="4"/>
      <c r="P9" s="4"/>
      <c r="Q9" s="4"/>
      <c r="R9" s="4"/>
      <c r="S9" s="4"/>
      <c r="T9" s="4"/>
      <c r="U9" s="4"/>
      <c r="V9" s="4"/>
      <c r="W9" s="4"/>
      <c r="X9" s="4"/>
      <c r="Y9" s="5"/>
    </row>
    <row r="10" spans="1:25" ht="15" customHeight="1">
      <c r="A10" s="3" t="s">
        <v>2</v>
      </c>
      <c r="B10" s="6" t="s">
        <v>36</v>
      </c>
      <c r="C10" s="6" t="s">
        <v>37</v>
      </c>
      <c r="D10" s="6" t="s">
        <v>37</v>
      </c>
      <c r="E10" s="6" t="s">
        <v>38</v>
      </c>
      <c r="F10" s="6" t="s">
        <v>22</v>
      </c>
      <c r="G10" s="6">
        <f t="shared" si="0"/>
        <v>0.6785714285714286</v>
      </c>
      <c r="H10" s="7"/>
      <c r="I10" s="6">
        <f t="shared" si="1"/>
        <v>0.7857142857142857</v>
      </c>
      <c r="J10" s="7"/>
      <c r="K10" s="7"/>
      <c r="L10" s="7"/>
      <c r="M10" s="4"/>
      <c r="N10" s="3"/>
      <c r="O10" s="4"/>
      <c r="P10" s="4"/>
      <c r="Q10" s="4"/>
      <c r="R10" s="4"/>
      <c r="S10" s="4"/>
      <c r="T10" s="4"/>
      <c r="U10" s="4"/>
      <c r="V10" s="4"/>
      <c r="W10" s="4"/>
      <c r="X10" s="4"/>
      <c r="Y10" s="5"/>
    </row>
    <row r="11" spans="1:25" ht="15" customHeight="1">
      <c r="A11" s="3" t="s">
        <v>2</v>
      </c>
      <c r="B11" s="6" t="s">
        <v>39</v>
      </c>
      <c r="C11" s="6" t="s">
        <v>19</v>
      </c>
      <c r="D11" s="6" t="s">
        <v>9</v>
      </c>
      <c r="E11" s="6" t="s">
        <v>40</v>
      </c>
      <c r="F11" s="6" t="s">
        <v>32</v>
      </c>
      <c r="G11" s="6">
        <f t="shared" si="0"/>
        <v>0.48979591836734693</v>
      </c>
      <c r="H11" s="7"/>
      <c r="I11" s="6">
        <f t="shared" si="1"/>
        <v>0.72727272727272729</v>
      </c>
      <c r="J11" s="7"/>
      <c r="K11" s="7"/>
      <c r="L11" s="7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5"/>
    </row>
    <row r="12" spans="1:25" ht="15" customHeight="1">
      <c r="A12" s="3" t="s">
        <v>5</v>
      </c>
      <c r="B12" s="6" t="s">
        <v>7</v>
      </c>
      <c r="C12" s="6" t="s">
        <v>32</v>
      </c>
      <c r="D12" s="6" t="s">
        <v>41</v>
      </c>
      <c r="E12" s="6" t="s">
        <v>16</v>
      </c>
      <c r="F12" s="6" t="s">
        <v>15</v>
      </c>
      <c r="G12" s="6">
        <f t="shared" si="0"/>
        <v>0.8</v>
      </c>
      <c r="H12" s="7"/>
      <c r="I12" s="6">
        <f t="shared" si="1"/>
        <v>0.73913043478260865</v>
      </c>
      <c r="J12" s="7"/>
      <c r="K12" s="7"/>
      <c r="L12" s="7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5"/>
    </row>
    <row r="13" spans="1:25" ht="15" customHeight="1">
      <c r="A13" s="3" t="s">
        <v>5</v>
      </c>
      <c r="B13" s="6" t="s">
        <v>12</v>
      </c>
      <c r="C13" s="8" t="s">
        <v>32</v>
      </c>
      <c r="D13" s="8" t="s">
        <v>19</v>
      </c>
      <c r="E13" s="6" t="s">
        <v>27</v>
      </c>
      <c r="F13" s="6" t="s">
        <v>42</v>
      </c>
      <c r="G13" s="6">
        <f t="shared" si="0"/>
        <v>0.72499999999999998</v>
      </c>
      <c r="H13" s="7"/>
      <c r="I13" s="6">
        <f t="shared" si="1"/>
        <v>0.73469387755102045</v>
      </c>
      <c r="J13" s="7"/>
      <c r="K13" s="7"/>
      <c r="L13" s="7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5"/>
    </row>
    <row r="14" spans="1:25" ht="15" customHeight="1">
      <c r="A14" s="3" t="s">
        <v>5</v>
      </c>
      <c r="B14" s="6" t="s">
        <v>18</v>
      </c>
      <c r="C14" s="6" t="s">
        <v>11</v>
      </c>
      <c r="D14" s="6" t="s">
        <v>43</v>
      </c>
      <c r="E14" s="6" t="s">
        <v>34</v>
      </c>
      <c r="F14" s="6" t="s">
        <v>16</v>
      </c>
      <c r="G14" s="6">
        <f t="shared" si="0"/>
        <v>0.68292682926829273</v>
      </c>
      <c r="H14" s="7"/>
      <c r="I14" s="6">
        <f t="shared" si="1"/>
        <v>0.71111111111111114</v>
      </c>
      <c r="J14" s="7"/>
      <c r="K14" s="7"/>
      <c r="L14" s="7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5"/>
    </row>
    <row r="15" spans="1:25" ht="15" customHeight="1">
      <c r="A15" s="3" t="s">
        <v>5</v>
      </c>
      <c r="B15" s="6" t="s">
        <v>21</v>
      </c>
      <c r="C15" s="6" t="s">
        <v>15</v>
      </c>
      <c r="D15" s="6" t="s">
        <v>44</v>
      </c>
      <c r="E15" s="6" t="s">
        <v>45</v>
      </c>
      <c r="F15" s="6" t="s">
        <v>46</v>
      </c>
      <c r="G15" s="6">
        <f t="shared" si="0"/>
        <v>0.73529411764705888</v>
      </c>
      <c r="H15" s="7"/>
      <c r="I15" s="6">
        <f t="shared" si="1"/>
        <v>0.73809523809523814</v>
      </c>
      <c r="J15" s="7"/>
      <c r="K15" s="7"/>
      <c r="L15" s="7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5"/>
    </row>
    <row r="16" spans="1:25" ht="15" customHeight="1">
      <c r="A16" s="3" t="s">
        <v>5</v>
      </c>
      <c r="B16" s="6" t="s">
        <v>24</v>
      </c>
      <c r="C16" s="6" t="s">
        <v>38</v>
      </c>
      <c r="D16" s="6" t="s">
        <v>44</v>
      </c>
      <c r="E16" s="6" t="s">
        <v>45</v>
      </c>
      <c r="F16" s="6" t="s">
        <v>47</v>
      </c>
      <c r="G16" s="6">
        <f t="shared" si="0"/>
        <v>0.65789473684210531</v>
      </c>
      <c r="H16" s="7"/>
      <c r="I16" s="6">
        <f t="shared" si="1"/>
        <v>0.6428571428571429</v>
      </c>
      <c r="J16" s="7"/>
      <c r="K16" s="7"/>
      <c r="L16" s="7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5"/>
    </row>
    <row r="17" spans="1:25" ht="15" customHeight="1">
      <c r="A17" s="3" t="s">
        <v>5</v>
      </c>
      <c r="B17" s="6" t="s">
        <v>28</v>
      </c>
      <c r="C17" s="6" t="s">
        <v>48</v>
      </c>
      <c r="D17" s="6" t="s">
        <v>19</v>
      </c>
      <c r="E17" s="6" t="s">
        <v>46</v>
      </c>
      <c r="F17" s="6" t="s">
        <v>38</v>
      </c>
      <c r="G17" s="6">
        <f t="shared" si="0"/>
        <v>0.79487179487179482</v>
      </c>
      <c r="H17" s="7"/>
      <c r="I17" s="6">
        <f t="shared" si="1"/>
        <v>0.77551020408163263</v>
      </c>
      <c r="J17" s="7"/>
      <c r="K17" s="7"/>
      <c r="L17" s="7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5"/>
    </row>
    <row r="18" spans="1:25" ht="15" customHeight="1">
      <c r="A18" s="3" t="s">
        <v>5</v>
      </c>
      <c r="B18" s="6" t="s">
        <v>30</v>
      </c>
      <c r="C18" s="8" t="s">
        <v>11</v>
      </c>
      <c r="D18" s="8" t="s">
        <v>29</v>
      </c>
      <c r="E18" s="6" t="s">
        <v>10</v>
      </c>
      <c r="F18" s="6" t="s">
        <v>26</v>
      </c>
      <c r="G18" s="6">
        <f t="shared" si="0"/>
        <v>0.73170731707317072</v>
      </c>
      <c r="H18" s="7"/>
      <c r="I18" s="6">
        <f t="shared" si="1"/>
        <v>0.74468085106382975</v>
      </c>
      <c r="J18" s="7"/>
      <c r="K18" s="7"/>
      <c r="L18" s="7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5"/>
    </row>
    <row r="19" spans="1:25" ht="15" customHeight="1">
      <c r="A19" s="3" t="s">
        <v>5</v>
      </c>
      <c r="B19" s="6" t="s">
        <v>35</v>
      </c>
      <c r="C19" s="6" t="s">
        <v>48</v>
      </c>
      <c r="D19" s="6" t="s">
        <v>48</v>
      </c>
      <c r="E19" s="6" t="s">
        <v>34</v>
      </c>
      <c r="F19" s="6" t="s">
        <v>10</v>
      </c>
      <c r="G19" s="6">
        <f t="shared" si="0"/>
        <v>0.71794871794871795</v>
      </c>
      <c r="H19" s="7"/>
      <c r="I19" s="6">
        <f t="shared" si="1"/>
        <v>0.76923076923076927</v>
      </c>
      <c r="J19" s="7"/>
      <c r="K19" s="7"/>
      <c r="L19" s="7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5"/>
    </row>
    <row r="20" spans="1:25" ht="15" customHeight="1">
      <c r="A20" s="3" t="s">
        <v>5</v>
      </c>
      <c r="B20" s="6" t="s">
        <v>36</v>
      </c>
      <c r="C20" s="6" t="s">
        <v>34</v>
      </c>
      <c r="D20" s="6" t="s">
        <v>31</v>
      </c>
      <c r="E20" s="6" t="s">
        <v>35</v>
      </c>
      <c r="F20" s="6" t="s">
        <v>39</v>
      </c>
      <c r="G20" s="6">
        <f t="shared" si="0"/>
        <v>0.6428571428571429</v>
      </c>
      <c r="H20" s="7"/>
      <c r="I20" s="6">
        <f t="shared" si="1"/>
        <v>0.54054054054054057</v>
      </c>
      <c r="J20" s="7"/>
      <c r="K20" s="7"/>
      <c r="L20" s="7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5"/>
    </row>
    <row r="21" spans="1:25" ht="15" customHeight="1">
      <c r="A21" s="3" t="s">
        <v>5</v>
      </c>
      <c r="B21" s="6" t="s">
        <v>39</v>
      </c>
      <c r="C21" s="6" t="s">
        <v>32</v>
      </c>
      <c r="D21" s="6" t="s">
        <v>11</v>
      </c>
      <c r="E21" s="6" t="s">
        <v>49</v>
      </c>
      <c r="F21" s="6" t="s">
        <v>16</v>
      </c>
      <c r="G21" s="6">
        <f t="shared" si="0"/>
        <v>0.82499999999999996</v>
      </c>
      <c r="H21" s="7"/>
      <c r="I21" s="6">
        <f t="shared" si="1"/>
        <v>0.78048780487804881</v>
      </c>
      <c r="J21" s="7"/>
      <c r="K21" s="7"/>
      <c r="L21" s="7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5"/>
    </row>
    <row r="22" spans="1:25" ht="15" customHeight="1">
      <c r="A22" s="3" t="s">
        <v>6</v>
      </c>
      <c r="B22" s="6" t="s">
        <v>7</v>
      </c>
      <c r="C22" s="6" t="s">
        <v>38</v>
      </c>
      <c r="D22" s="6" t="s">
        <v>31</v>
      </c>
      <c r="E22" s="6" t="s">
        <v>27</v>
      </c>
      <c r="F22" s="6" t="s">
        <v>47</v>
      </c>
      <c r="G22" s="6">
        <f t="shared" si="0"/>
        <v>0.76315789473684215</v>
      </c>
      <c r="H22" s="7"/>
      <c r="I22" s="6">
        <f t="shared" si="1"/>
        <v>0.72972972972972971</v>
      </c>
      <c r="J22" s="7"/>
      <c r="K22" s="7"/>
      <c r="L22" s="7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5"/>
    </row>
    <row r="23" spans="1:25" ht="15" customHeight="1">
      <c r="A23" s="3" t="s">
        <v>6</v>
      </c>
      <c r="B23" s="6" t="s">
        <v>12</v>
      </c>
      <c r="C23" s="6" t="s">
        <v>31</v>
      </c>
      <c r="D23" s="6" t="s">
        <v>31</v>
      </c>
      <c r="E23" s="6" t="s">
        <v>10</v>
      </c>
      <c r="F23" s="6" t="s">
        <v>45</v>
      </c>
      <c r="G23" s="6">
        <f t="shared" si="0"/>
        <v>0.81081081081081086</v>
      </c>
      <c r="H23" s="7"/>
      <c r="I23" s="6">
        <f t="shared" si="1"/>
        <v>0.67567567567567566</v>
      </c>
      <c r="J23" s="7"/>
      <c r="K23" s="7"/>
      <c r="L23" s="7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5"/>
    </row>
    <row r="24" spans="1:25" ht="15" customHeight="1">
      <c r="A24" s="3" t="s">
        <v>6</v>
      </c>
      <c r="B24" s="6" t="s">
        <v>18</v>
      </c>
      <c r="C24" s="6" t="s">
        <v>31</v>
      </c>
      <c r="D24" s="6" t="s">
        <v>42</v>
      </c>
      <c r="E24" s="6" t="s">
        <v>27</v>
      </c>
      <c r="F24" s="6" t="s">
        <v>45</v>
      </c>
      <c r="G24" s="6">
        <f t="shared" si="0"/>
        <v>0.78378378378378377</v>
      </c>
      <c r="H24" s="7"/>
      <c r="I24" s="6">
        <f t="shared" si="1"/>
        <v>0.69444444444444442</v>
      </c>
      <c r="J24" s="7"/>
      <c r="K24" s="7"/>
      <c r="L24" s="7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5"/>
    </row>
    <row r="25" spans="1:25" ht="15" customHeight="1">
      <c r="A25" s="3" t="s">
        <v>6</v>
      </c>
      <c r="B25" s="6" t="s">
        <v>21</v>
      </c>
      <c r="C25" s="6" t="s">
        <v>15</v>
      </c>
      <c r="D25" s="6" t="s">
        <v>26</v>
      </c>
      <c r="E25" s="6" t="s">
        <v>50</v>
      </c>
      <c r="F25" s="6" t="s">
        <v>33</v>
      </c>
      <c r="G25" s="6">
        <f t="shared" si="0"/>
        <v>0.6470588235294118</v>
      </c>
      <c r="H25" s="7"/>
      <c r="I25" s="6">
        <f t="shared" si="1"/>
        <v>0.65714285714285714</v>
      </c>
      <c r="J25" s="7"/>
      <c r="K25" s="7"/>
      <c r="L25" s="7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5"/>
    </row>
    <row r="26" spans="1:25" ht="15" customHeight="1">
      <c r="A26" s="3" t="s">
        <v>6</v>
      </c>
      <c r="B26" s="6" t="s">
        <v>24</v>
      </c>
      <c r="C26" s="6" t="s">
        <v>26</v>
      </c>
      <c r="D26" s="6" t="s">
        <v>15</v>
      </c>
      <c r="E26" s="6" t="s">
        <v>33</v>
      </c>
      <c r="F26" s="6" t="s">
        <v>33</v>
      </c>
      <c r="G26" s="6">
        <f t="shared" si="0"/>
        <v>0.65714285714285714</v>
      </c>
      <c r="H26" s="7"/>
      <c r="I26" s="6">
        <f t="shared" si="1"/>
        <v>0.67647058823529416</v>
      </c>
      <c r="J26" s="7"/>
      <c r="K26" s="7"/>
      <c r="L26" s="7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5"/>
    </row>
    <row r="27" spans="1:25" ht="15" customHeight="1">
      <c r="A27" s="3" t="s">
        <v>6</v>
      </c>
      <c r="B27" s="6" t="s">
        <v>28</v>
      </c>
      <c r="C27" s="6" t="s">
        <v>42</v>
      </c>
      <c r="D27" s="6" t="s">
        <v>31</v>
      </c>
      <c r="E27" s="6" t="s">
        <v>34</v>
      </c>
      <c r="F27" s="6" t="s">
        <v>51</v>
      </c>
      <c r="G27" s="6">
        <f t="shared" si="0"/>
        <v>0.77777777777777779</v>
      </c>
      <c r="H27" s="7"/>
      <c r="I27" s="6">
        <f t="shared" si="1"/>
        <v>0.70270270270270274</v>
      </c>
      <c r="J27" s="7"/>
      <c r="K27" s="7"/>
      <c r="L27" s="7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5"/>
    </row>
    <row r="28" spans="1:25" ht="14.25">
      <c r="A28" s="3" t="s">
        <v>6</v>
      </c>
      <c r="B28" s="6" t="s">
        <v>30</v>
      </c>
      <c r="C28" s="6" t="s">
        <v>26</v>
      </c>
      <c r="D28" s="6" t="s">
        <v>26</v>
      </c>
      <c r="E28" s="6" t="s">
        <v>27</v>
      </c>
      <c r="F28" s="6" t="s">
        <v>35</v>
      </c>
      <c r="G28" s="6">
        <f t="shared" si="0"/>
        <v>0.82857142857142863</v>
      </c>
      <c r="H28" s="7"/>
      <c r="I28" s="6">
        <f t="shared" si="1"/>
        <v>0.51428571428571423</v>
      </c>
      <c r="J28" s="7"/>
      <c r="K28" s="7"/>
      <c r="L28" s="7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5"/>
    </row>
    <row r="29" spans="1:25" ht="14.25">
      <c r="A29" s="3" t="s">
        <v>6</v>
      </c>
      <c r="B29" s="6" t="s">
        <v>35</v>
      </c>
      <c r="C29" s="6" t="s">
        <v>15</v>
      </c>
      <c r="D29" s="6" t="s">
        <v>15</v>
      </c>
      <c r="E29" s="6" t="s">
        <v>52</v>
      </c>
      <c r="F29" s="6" t="s">
        <v>50</v>
      </c>
      <c r="G29" s="6">
        <f t="shared" si="0"/>
        <v>0.61764705882352944</v>
      </c>
      <c r="H29" s="7"/>
      <c r="I29" s="6">
        <f t="shared" si="1"/>
        <v>0.6470588235294118</v>
      </c>
      <c r="J29" s="7"/>
      <c r="K29" s="7"/>
      <c r="L29" s="7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5"/>
    </row>
    <row r="30" spans="1:25" ht="14.25">
      <c r="A30" s="3" t="s">
        <v>6</v>
      </c>
      <c r="B30" s="6" t="s">
        <v>36</v>
      </c>
      <c r="C30" s="6" t="s">
        <v>26</v>
      </c>
      <c r="D30" s="6" t="s">
        <v>26</v>
      </c>
      <c r="E30" s="6" t="s">
        <v>34</v>
      </c>
      <c r="F30" s="6" t="s">
        <v>36</v>
      </c>
      <c r="G30" s="6">
        <f t="shared" si="0"/>
        <v>0.8</v>
      </c>
      <c r="H30" s="7"/>
      <c r="I30" s="6">
        <f t="shared" si="1"/>
        <v>0.54285714285714282</v>
      </c>
      <c r="J30" s="7"/>
      <c r="K30" s="7"/>
      <c r="L30" s="7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5"/>
    </row>
    <row r="31" spans="1:25" ht="14.25">
      <c r="A31" s="3" t="s">
        <v>6</v>
      </c>
      <c r="B31" s="6" t="s">
        <v>39</v>
      </c>
      <c r="C31" s="6" t="s">
        <v>49</v>
      </c>
      <c r="D31" s="6" t="s">
        <v>15</v>
      </c>
      <c r="E31" s="6" t="s">
        <v>50</v>
      </c>
      <c r="F31" s="6" t="s">
        <v>35</v>
      </c>
      <c r="G31" s="6">
        <f t="shared" si="0"/>
        <v>0.66666666666666663</v>
      </c>
      <c r="H31" s="7"/>
      <c r="I31" s="6">
        <f t="shared" si="1"/>
        <v>0.52941176470588236</v>
      </c>
      <c r="J31" s="7"/>
      <c r="K31" s="7"/>
      <c r="L31" s="7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5"/>
    </row>
    <row r="32" spans="1:25" ht="14.25">
      <c r="A32" s="5"/>
      <c r="B32" s="5"/>
      <c r="C32" s="5"/>
      <c r="D32" s="5"/>
      <c r="E32" s="5"/>
      <c r="F32" s="5"/>
      <c r="G32" s="5"/>
      <c r="H32" s="9"/>
      <c r="I32" s="5"/>
      <c r="J32" s="9"/>
      <c r="K32" s="9"/>
      <c r="L32" s="9"/>
      <c r="M32" s="5"/>
      <c r="N32" s="5"/>
      <c r="O32" s="4"/>
      <c r="P32" s="5"/>
      <c r="Q32" s="5"/>
      <c r="R32" s="5"/>
      <c r="S32" s="5"/>
      <c r="T32" s="5"/>
      <c r="U32" s="5"/>
      <c r="V32" s="5"/>
      <c r="W32" s="5"/>
      <c r="X32" s="5"/>
      <c r="Y32" s="5"/>
    </row>
    <row r="33" spans="1:25" ht="14.25">
      <c r="A33" s="5"/>
      <c r="B33" s="5"/>
      <c r="D33" s="5"/>
      <c r="E33" s="5"/>
      <c r="F33" s="5"/>
      <c r="G33" s="5"/>
      <c r="H33" s="9"/>
      <c r="I33" s="5"/>
      <c r="J33" s="9"/>
      <c r="K33" s="9"/>
      <c r="L33" s="9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</row>
    <row r="34" spans="1:25" ht="14.25">
      <c r="A34" s="5"/>
      <c r="B34" s="5"/>
      <c r="D34" s="5"/>
      <c r="E34" s="5"/>
      <c r="F34" s="5"/>
      <c r="G34" s="5"/>
      <c r="H34" s="5"/>
      <c r="I34" s="5"/>
      <c r="J34" s="9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</row>
    <row r="35" spans="1:25" ht="14.25">
      <c r="A35" s="5"/>
      <c r="B35" s="5"/>
      <c r="D35" s="5"/>
      <c r="E35" s="5"/>
      <c r="F35" s="5"/>
      <c r="G35" s="5"/>
      <c r="H35" s="5"/>
      <c r="I35" s="5"/>
      <c r="J35" s="9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</row>
    <row r="36" spans="1:25" ht="14.25">
      <c r="A36" s="5"/>
      <c r="B36" s="5"/>
      <c r="D36" s="5"/>
      <c r="E36" s="5"/>
      <c r="F36" s="5"/>
      <c r="G36" s="5"/>
      <c r="H36" s="5"/>
      <c r="I36" s="5"/>
      <c r="J36" s="9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</row>
    <row r="37" spans="1:25" ht="14.25">
      <c r="A37" s="5"/>
      <c r="B37" s="5"/>
      <c r="D37" s="5"/>
      <c r="E37" s="5"/>
      <c r="F37" s="5"/>
      <c r="G37" s="5"/>
      <c r="H37" s="5"/>
      <c r="I37" s="5"/>
      <c r="J37" s="9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 spans="1:25" ht="14.25">
      <c r="A38" s="5"/>
      <c r="B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 spans="1:25" ht="14.25">
      <c r="A39" s="5"/>
      <c r="B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 spans="1:25" ht="14.25">
      <c r="A40" s="5"/>
      <c r="B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 spans="1:25" ht="14.25">
      <c r="A41" s="5"/>
      <c r="B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</row>
    <row r="42" spans="1:25" ht="14.25">
      <c r="A42" s="5"/>
      <c r="B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 spans="1:25" ht="14.2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 spans="1:25" ht="14.2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</row>
    <row r="45" spans="1:25" ht="14.2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</row>
    <row r="46" spans="1:25" ht="14.2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 spans="1:25" ht="14.2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 spans="1:25" ht="14.2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 spans="1:25" ht="14.2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 spans="1:25" ht="14.2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 spans="1:25" ht="14.2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 spans="1:25" ht="14.2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 spans="1:25" ht="14.2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 spans="1:25" ht="14.2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 spans="1:25" ht="14.2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 spans="1:25" ht="14.2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 spans="1:25" ht="14.2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 spans="1:25" ht="14.2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 spans="1:25" ht="14.2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 spans="1:25" ht="14.2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 spans="1:25" ht="14.2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 spans="1:25" ht="14.2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 spans="1:25" ht="14.2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 spans="1:25" ht="14.2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 spans="1:25" ht="14.2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 spans="1:25" ht="14.2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 spans="1:25" ht="14.2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 spans="1:25" ht="14.2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 spans="1:25" ht="14.2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 spans="1:25" ht="14.2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 spans="1:25" ht="14.2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 spans="1:25" ht="14.2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 spans="1:25" ht="14.2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 spans="1:25" ht="14.2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 spans="1:25" ht="14.2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 spans="1:25" ht="14.2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 spans="1:25" ht="14.2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 spans="1:25" ht="14.2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</row>
    <row r="79" spans="1:25" ht="14.2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</row>
    <row r="80" spans="1:25" ht="14.2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</row>
    <row r="81" spans="1:25" ht="14.2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</row>
    <row r="82" spans="1:25" ht="14.2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</row>
    <row r="83" spans="1:25" ht="14.2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</row>
    <row r="84" spans="1:25" ht="14.2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</row>
    <row r="85" spans="1:25" ht="14.2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</row>
    <row r="86" spans="1:25" ht="14.2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</row>
    <row r="87" spans="1:25" ht="14.2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</row>
    <row r="88" spans="1:25" ht="14.2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</row>
    <row r="89" spans="1:25" ht="14.2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</row>
    <row r="90" spans="1:25" ht="14.2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</row>
    <row r="91" spans="1:25" ht="14.2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</row>
    <row r="92" spans="1:25" ht="14.2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</row>
    <row r="93" spans="1:25" ht="14.2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</row>
    <row r="94" spans="1:25" ht="14.2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</row>
    <row r="95" spans="1:25" ht="14.2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</row>
    <row r="96" spans="1:25" ht="14.2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</row>
    <row r="97" spans="1:25" ht="14.2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</row>
    <row r="98" spans="1:25" ht="14.2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</row>
    <row r="99" spans="1:25" ht="14.2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</row>
    <row r="100" spans="1:25" ht="14.2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</row>
    <row r="101" spans="1:25" ht="14.2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</row>
    <row r="102" spans="1:25" ht="14.2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</row>
    <row r="103" spans="1:25" ht="14.2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</row>
    <row r="104" spans="1:25" ht="14.2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</row>
    <row r="105" spans="1:25" ht="14.2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</row>
    <row r="106" spans="1:25" ht="14.2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</row>
    <row r="107" spans="1:25" ht="14.2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</row>
    <row r="108" spans="1:25" ht="14.2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</row>
    <row r="109" spans="1:25" ht="14.2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</row>
    <row r="110" spans="1:25" ht="14.2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</row>
    <row r="111" spans="1:25" ht="14.2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</row>
    <row r="112" spans="1:25" ht="14.2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</row>
    <row r="113" spans="1:25" ht="14.2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</row>
    <row r="114" spans="1:25" ht="14.2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</row>
    <row r="115" spans="1:25" ht="14.2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</row>
    <row r="116" spans="1:25" ht="14.2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</row>
    <row r="117" spans="1:25" ht="14.2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</row>
    <row r="118" spans="1:25" ht="14.2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</row>
    <row r="119" spans="1:25" ht="14.2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</row>
    <row r="120" spans="1:25" ht="14.2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</row>
    <row r="121" spans="1:25" ht="14.2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</row>
    <row r="122" spans="1:25" ht="14.2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</row>
    <row r="123" spans="1:25" ht="14.2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</row>
    <row r="124" spans="1:25" ht="14.2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</row>
    <row r="125" spans="1:25" ht="14.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</row>
    <row r="126" spans="1:25" ht="14.2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</row>
    <row r="127" spans="1:25" ht="14.2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</row>
    <row r="128" spans="1:25" ht="14.2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</row>
    <row r="129" spans="1:25" ht="14.2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</row>
    <row r="130" spans="1:25" ht="14.2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</row>
    <row r="131" spans="1:25" ht="14.2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</row>
    <row r="132" spans="1:25" ht="14.2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</row>
    <row r="133" spans="1:25" ht="14.2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</row>
    <row r="134" spans="1:25" ht="14.2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</row>
    <row r="135" spans="1:25" ht="14.2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</row>
    <row r="136" spans="1:25" ht="14.2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</row>
    <row r="137" spans="1:25" ht="14.2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</row>
    <row r="138" spans="1:25" ht="14.2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</row>
    <row r="139" spans="1:25" ht="14.2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</row>
    <row r="140" spans="1:25" ht="14.2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</row>
    <row r="141" spans="1:25" ht="14.2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</row>
    <row r="142" spans="1:25" ht="14.2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</row>
    <row r="143" spans="1:25" ht="14.2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</row>
    <row r="144" spans="1:25" ht="14.2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</row>
    <row r="145" spans="1:25" ht="14.2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</row>
    <row r="146" spans="1:25" ht="14.2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</row>
    <row r="147" spans="1:25" ht="14.2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</row>
    <row r="148" spans="1:25" ht="14.2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</row>
    <row r="149" spans="1:25" ht="14.2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</row>
    <row r="150" spans="1:25" ht="14.2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</row>
    <row r="151" spans="1:25" ht="14.2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</row>
    <row r="152" spans="1:25" ht="14.2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</row>
    <row r="153" spans="1:25" ht="14.2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</row>
    <row r="154" spans="1:25" ht="14.2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</row>
    <row r="155" spans="1:25" ht="14.2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</row>
    <row r="156" spans="1:25" ht="14.2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</row>
    <row r="157" spans="1:25" ht="14.2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</row>
    <row r="158" spans="1:25" ht="14.2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</row>
    <row r="159" spans="1:25" ht="14.2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</row>
    <row r="160" spans="1:25" ht="14.2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</row>
    <row r="161" spans="1:25" ht="14.2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</row>
    <row r="162" spans="1:25" ht="14.2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</row>
    <row r="163" spans="1:25" ht="14.2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</row>
    <row r="164" spans="1:25" ht="14.2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</row>
    <row r="165" spans="1:25" ht="14.2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</row>
    <row r="166" spans="1:25" ht="14.2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</row>
    <row r="167" spans="1:25" ht="14.2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</row>
    <row r="168" spans="1:25" ht="14.2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</row>
    <row r="169" spans="1:25" ht="14.2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</row>
    <row r="170" spans="1:25" ht="14.2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</row>
    <row r="171" spans="1:25" ht="14.2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</row>
    <row r="172" spans="1:25" ht="14.2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</row>
    <row r="173" spans="1:25" ht="14.2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</row>
    <row r="174" spans="1:25" ht="14.2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</row>
    <row r="175" spans="1:25" ht="14.2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</row>
    <row r="176" spans="1:25" ht="14.2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</row>
    <row r="177" spans="1:25" ht="14.2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</row>
    <row r="178" spans="1:25" ht="14.2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</row>
    <row r="179" spans="1:25" ht="14.2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</row>
    <row r="180" spans="1:25" ht="14.2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</row>
    <row r="181" spans="1:25" ht="14.2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</row>
    <row r="182" spans="1:25" ht="14.2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</row>
    <row r="183" spans="1:25" ht="14.2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</row>
    <row r="184" spans="1:25" ht="14.2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</row>
    <row r="185" spans="1:25" ht="14.2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</row>
    <row r="186" spans="1:25" ht="14.2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</row>
    <row r="187" spans="1:25" ht="14.2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</row>
    <row r="188" spans="1:25" ht="14.2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</row>
    <row r="189" spans="1:25" ht="14.2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</row>
    <row r="190" spans="1:25" ht="14.2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</row>
    <row r="191" spans="1:25" ht="14.2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</row>
    <row r="192" spans="1:25" ht="14.2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</row>
    <row r="193" spans="1:25" ht="14.2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</row>
    <row r="194" spans="1:25" ht="14.2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</row>
    <row r="195" spans="1:25" ht="14.2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</row>
    <row r="196" spans="1:25" ht="14.2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</row>
    <row r="197" spans="1:25" ht="14.2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</row>
    <row r="198" spans="1:25" ht="14.2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</row>
    <row r="199" spans="1:25" ht="14.2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</row>
    <row r="200" spans="1:25" ht="14.2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</row>
    <row r="201" spans="1:25" ht="14.2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</row>
    <row r="202" spans="1:25" ht="14.2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</row>
    <row r="203" spans="1:25" ht="14.2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</row>
    <row r="204" spans="1:25" ht="14.2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</row>
    <row r="205" spans="1:25" ht="14.2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</row>
    <row r="206" spans="1:25" ht="14.2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</row>
    <row r="207" spans="1:25" ht="14.2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</row>
    <row r="208" spans="1:25" ht="14.2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</row>
    <row r="209" spans="1:25" ht="14.2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</row>
    <row r="210" spans="1:25" ht="14.2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</row>
    <row r="211" spans="1:25" ht="14.2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</row>
    <row r="212" spans="1:25" ht="14.2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</row>
    <row r="213" spans="1:25" ht="14.2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</row>
    <row r="214" spans="1:25" ht="14.2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</row>
    <row r="215" spans="1:25" ht="14.2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</row>
    <row r="216" spans="1:25" ht="14.2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</row>
    <row r="217" spans="1:25" ht="14.2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</row>
    <row r="218" spans="1:25" ht="14.2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</row>
    <row r="219" spans="1:25" ht="14.2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</row>
    <row r="220" spans="1:25" ht="14.2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</row>
    <row r="221" spans="1:25" ht="14.2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</row>
    <row r="222" spans="1:25" ht="14.2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</row>
    <row r="223" spans="1:25" ht="14.2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</row>
    <row r="224" spans="1:25" ht="14.2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</row>
    <row r="225" spans="1:25" ht="14.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</row>
    <row r="226" spans="1:25" ht="14.2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</row>
    <row r="227" spans="1:25" ht="14.2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</row>
    <row r="228" spans="1:25" ht="14.2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</row>
    <row r="229" spans="1:25" ht="14.2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</row>
    <row r="230" spans="1:25" ht="14.2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</row>
    <row r="231" spans="1:25" ht="14.2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</row>
    <row r="232" spans="1:25" ht="14.2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</row>
    <row r="233" spans="1:25" ht="14.2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</row>
    <row r="234" spans="1:25" ht="14.2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</row>
    <row r="235" spans="1:25" ht="14.2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</row>
    <row r="236" spans="1:25" ht="14.2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</row>
    <row r="237" spans="1:25" ht="14.2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</row>
    <row r="238" spans="1:25" ht="14.2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</row>
    <row r="239" spans="1:25" ht="14.2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</row>
    <row r="240" spans="1:25" ht="14.2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</row>
    <row r="241" spans="1:25" ht="14.2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</row>
    <row r="242" spans="1:25" ht="14.2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</row>
    <row r="243" spans="1:25" ht="14.2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</row>
    <row r="244" spans="1:25" ht="14.2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</row>
    <row r="245" spans="1:25" ht="14.2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</row>
    <row r="246" spans="1:25" ht="14.2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</row>
    <row r="247" spans="1:25" ht="14.2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</row>
    <row r="248" spans="1:25" ht="14.2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</row>
    <row r="249" spans="1:25" ht="14.2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</row>
    <row r="250" spans="1:25" ht="14.2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</row>
    <row r="251" spans="1:25" ht="14.2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</row>
    <row r="252" spans="1:25" ht="14.2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</row>
    <row r="253" spans="1:25" ht="14.2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</row>
    <row r="254" spans="1:25" ht="14.2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</row>
    <row r="255" spans="1:25" ht="14.2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</row>
    <row r="256" spans="1:25" ht="14.2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</row>
    <row r="257" spans="1:25" ht="14.2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</row>
    <row r="258" spans="1:25" ht="14.2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</row>
    <row r="259" spans="1:25" ht="14.2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</row>
    <row r="260" spans="1:25" ht="14.2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</row>
    <row r="261" spans="1:25" ht="14.2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</row>
    <row r="262" spans="1:25" ht="14.2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</row>
    <row r="263" spans="1:25" ht="14.2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</row>
    <row r="264" spans="1:25" ht="14.2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</row>
    <row r="265" spans="1:25" ht="14.2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</row>
    <row r="266" spans="1:25" ht="14.2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</row>
    <row r="267" spans="1:25" ht="14.2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</row>
    <row r="268" spans="1:25" ht="14.2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</row>
    <row r="269" spans="1:25" ht="14.2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</row>
    <row r="270" spans="1:25" ht="14.2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</row>
    <row r="271" spans="1:25" ht="14.2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</row>
    <row r="272" spans="1:25" ht="14.2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</row>
    <row r="273" spans="1:25" ht="14.2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</row>
    <row r="274" spans="1:25" ht="14.2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</row>
    <row r="275" spans="1:25" ht="14.2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</row>
    <row r="276" spans="1:25" ht="14.2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</row>
    <row r="277" spans="1:25" ht="14.2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</row>
    <row r="278" spans="1:25" ht="14.2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</row>
    <row r="279" spans="1:25" ht="14.2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</row>
    <row r="280" spans="1:25" ht="14.2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</row>
    <row r="281" spans="1:25" ht="14.2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</row>
    <row r="282" spans="1:25" ht="14.2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</row>
    <row r="283" spans="1:25" ht="14.2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</row>
    <row r="284" spans="1:25" ht="14.2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</row>
    <row r="285" spans="1:25" ht="14.2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</row>
    <row r="286" spans="1:25" ht="14.2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</row>
    <row r="287" spans="1:25" ht="14.2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</row>
    <row r="288" spans="1:25" ht="14.2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</row>
    <row r="289" spans="1:25" ht="14.2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</row>
    <row r="290" spans="1:25" ht="14.2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</row>
    <row r="291" spans="1:25" ht="14.2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</row>
    <row r="292" spans="1:25" ht="14.2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</row>
    <row r="293" spans="1:25" ht="14.2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</row>
    <row r="294" spans="1:25" ht="14.2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</row>
    <row r="295" spans="1:25" ht="14.2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</row>
    <row r="296" spans="1:25" ht="14.2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</row>
    <row r="297" spans="1:25" ht="14.2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</row>
    <row r="298" spans="1:25" ht="14.2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</row>
    <row r="299" spans="1:25" ht="14.2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</row>
    <row r="300" spans="1:25" ht="14.2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</row>
    <row r="301" spans="1:25" ht="14.2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</row>
    <row r="302" spans="1:25" ht="14.2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</row>
    <row r="303" spans="1:25" ht="14.2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</row>
    <row r="304" spans="1:25" ht="14.2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</row>
    <row r="305" spans="1:25" ht="14.2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</row>
    <row r="306" spans="1:25" ht="14.2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</row>
    <row r="307" spans="1:25" ht="14.2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</row>
    <row r="308" spans="1:25" ht="14.2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</row>
    <row r="309" spans="1:25" ht="14.2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</row>
    <row r="310" spans="1:25" ht="14.2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</row>
    <row r="311" spans="1:25" ht="14.2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</row>
    <row r="312" spans="1:25" ht="14.2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</row>
    <row r="313" spans="1:25" ht="14.2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</row>
    <row r="314" spans="1:25" ht="14.2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</row>
    <row r="315" spans="1:25" ht="14.2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</row>
    <row r="316" spans="1:25" ht="14.2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</row>
    <row r="317" spans="1:25" ht="14.2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</row>
    <row r="318" spans="1:25" ht="14.2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</row>
    <row r="319" spans="1:25" ht="14.2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</row>
    <row r="320" spans="1:25" ht="14.2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</row>
    <row r="321" spans="1:25" ht="14.2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</row>
    <row r="322" spans="1:25" ht="14.2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</row>
    <row r="323" spans="1:25" ht="14.2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</row>
    <row r="324" spans="1:25" ht="14.2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</row>
    <row r="325" spans="1:25" ht="14.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</row>
    <row r="326" spans="1:25" ht="14.2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</row>
    <row r="327" spans="1:25" ht="14.2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</row>
    <row r="328" spans="1:25" ht="14.2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</row>
    <row r="329" spans="1:25" ht="14.2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</row>
    <row r="330" spans="1:25" ht="14.2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</row>
    <row r="331" spans="1:25" ht="14.2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</row>
    <row r="332" spans="1:25" ht="14.2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</row>
    <row r="333" spans="1:25" ht="14.2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</row>
    <row r="334" spans="1:25" ht="14.2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</row>
    <row r="335" spans="1:25" ht="14.2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</row>
    <row r="336" spans="1:25" ht="14.2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</row>
    <row r="337" spans="1:25" ht="14.2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</row>
    <row r="338" spans="1:25" ht="14.2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</row>
    <row r="339" spans="1:25" ht="14.2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</row>
    <row r="340" spans="1:25" ht="14.2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</row>
    <row r="341" spans="1:25" ht="14.2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</row>
    <row r="342" spans="1:25" ht="14.2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</row>
    <row r="343" spans="1:25" ht="14.2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</row>
    <row r="344" spans="1:25" ht="14.2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</row>
    <row r="345" spans="1:25" ht="14.2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</row>
    <row r="346" spans="1:25" ht="14.2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</row>
    <row r="347" spans="1:25" ht="14.2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</row>
    <row r="348" spans="1:25" ht="14.2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</row>
    <row r="349" spans="1:25" ht="14.2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</row>
    <row r="350" spans="1:25" ht="14.2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</row>
    <row r="351" spans="1:25" ht="14.2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</row>
    <row r="352" spans="1:25" ht="14.2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</row>
    <row r="353" spans="1:25" ht="14.2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</row>
    <row r="354" spans="1:25" ht="14.2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</row>
    <row r="355" spans="1:25" ht="14.2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</row>
    <row r="356" spans="1:25" ht="14.2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</row>
    <row r="357" spans="1:25" ht="14.2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</row>
    <row r="358" spans="1:25" ht="14.2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</row>
    <row r="359" spans="1:25" ht="14.2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</row>
    <row r="360" spans="1:25" ht="14.2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</row>
    <row r="361" spans="1:25" ht="14.2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</row>
    <row r="362" spans="1:25" ht="14.2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</row>
    <row r="363" spans="1:25" ht="14.2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</row>
    <row r="364" spans="1:25" ht="14.2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</row>
    <row r="365" spans="1:25" ht="14.2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</row>
    <row r="366" spans="1:25" ht="14.2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</row>
    <row r="367" spans="1:25" ht="14.2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</row>
    <row r="368" spans="1:25" ht="14.2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</row>
    <row r="369" spans="1:25" ht="14.2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</row>
    <row r="370" spans="1:25" ht="14.2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</row>
    <row r="371" spans="1:25" ht="14.2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</row>
    <row r="372" spans="1:25" ht="14.2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</row>
    <row r="373" spans="1:25" ht="14.2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</row>
    <row r="374" spans="1:25" ht="14.2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</row>
    <row r="375" spans="1:25" ht="14.2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</row>
    <row r="376" spans="1:25" ht="14.2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</row>
    <row r="377" spans="1:25" ht="14.2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</row>
    <row r="378" spans="1:25" ht="14.2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</row>
    <row r="379" spans="1:25" ht="14.2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</row>
    <row r="380" spans="1:25" ht="14.2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</row>
    <row r="381" spans="1:25" ht="14.2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</row>
    <row r="382" spans="1:25" ht="14.2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</row>
    <row r="383" spans="1:25" ht="14.2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</row>
    <row r="384" spans="1:25" ht="14.2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</row>
    <row r="385" spans="1:25" ht="14.2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</row>
    <row r="386" spans="1:25" ht="14.25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</row>
    <row r="387" spans="1:25" ht="14.25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</row>
    <row r="388" spans="1:25" ht="14.25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</row>
    <row r="389" spans="1:25" ht="14.25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</row>
    <row r="390" spans="1:25" ht="14.25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</row>
    <row r="391" spans="1:25" ht="14.25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</row>
    <row r="392" spans="1:25" ht="14.25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</row>
    <row r="393" spans="1:25" ht="14.25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</row>
    <row r="394" spans="1:25" ht="14.25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</row>
    <row r="395" spans="1:25" ht="14.2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</row>
    <row r="396" spans="1:25" ht="14.25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</row>
    <row r="397" spans="1:25" ht="14.25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</row>
    <row r="398" spans="1:25" ht="14.25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</row>
    <row r="399" spans="1:25" ht="14.25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</row>
    <row r="400" spans="1:25" ht="14.25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</row>
    <row r="401" spans="1:25" ht="14.25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</row>
    <row r="402" spans="1:25" ht="14.25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</row>
    <row r="403" spans="1:25" ht="14.25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</row>
    <row r="404" spans="1:25" ht="14.25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</row>
    <row r="405" spans="1:25" ht="14.2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</row>
    <row r="406" spans="1:25" ht="14.25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</row>
    <row r="407" spans="1:25" ht="14.25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</row>
    <row r="408" spans="1:25" ht="14.25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</row>
    <row r="409" spans="1:25" ht="14.25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</row>
    <row r="410" spans="1:25" ht="14.25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</row>
    <row r="411" spans="1:25" ht="14.25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</row>
    <row r="412" spans="1:25" ht="14.25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</row>
    <row r="413" spans="1:25" ht="14.25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</row>
    <row r="414" spans="1:25" ht="14.25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</row>
    <row r="415" spans="1:25" ht="14.2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</row>
    <row r="416" spans="1:25" ht="14.25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</row>
    <row r="417" spans="1:25" ht="14.25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</row>
    <row r="418" spans="1:25" ht="14.25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</row>
    <row r="419" spans="1:25" ht="14.25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</row>
    <row r="420" spans="1:25" ht="14.25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</row>
    <row r="421" spans="1:25" ht="14.25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</row>
    <row r="422" spans="1:25" ht="14.25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</row>
    <row r="423" spans="1:25" ht="14.25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</row>
    <row r="424" spans="1:25" ht="14.25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</row>
    <row r="425" spans="1:25" ht="14.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</row>
    <row r="426" spans="1:25" ht="14.25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</row>
    <row r="427" spans="1:25" ht="14.25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</row>
    <row r="428" spans="1:25" ht="14.25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</row>
    <row r="429" spans="1:25" ht="14.25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</row>
    <row r="430" spans="1:25" ht="14.25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</row>
    <row r="431" spans="1:25" ht="14.25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</row>
    <row r="432" spans="1:25" ht="14.25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</row>
    <row r="433" spans="1:25" ht="14.25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</row>
    <row r="434" spans="1:25" ht="14.25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</row>
    <row r="435" spans="1:25" ht="14.2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</row>
    <row r="436" spans="1:25" ht="14.25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</row>
    <row r="437" spans="1:25" ht="14.25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</row>
    <row r="438" spans="1:25" ht="14.25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</row>
    <row r="439" spans="1:25" ht="14.25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</row>
    <row r="440" spans="1:25" ht="14.25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</row>
    <row r="441" spans="1:25" ht="14.25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</row>
    <row r="442" spans="1:25" ht="14.25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</row>
    <row r="443" spans="1:25" ht="14.25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</row>
    <row r="444" spans="1:25" ht="14.25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</row>
    <row r="445" spans="1:25" ht="14.2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</row>
    <row r="446" spans="1:25" ht="14.25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</row>
    <row r="447" spans="1:25" ht="14.25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</row>
    <row r="448" spans="1:25" ht="14.25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</row>
    <row r="449" spans="1:25" ht="14.25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</row>
    <row r="450" spans="1:25" ht="14.25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</row>
    <row r="451" spans="1:25" ht="14.25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</row>
    <row r="452" spans="1:25" ht="14.25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</row>
    <row r="453" spans="1:25" ht="14.25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</row>
    <row r="454" spans="1:25" ht="14.25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</row>
    <row r="455" spans="1:25" ht="14.2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</row>
    <row r="456" spans="1:25" ht="14.25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</row>
    <row r="457" spans="1:25" ht="14.25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</row>
    <row r="458" spans="1:25" ht="14.25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</row>
    <row r="459" spans="1:25" ht="14.25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</row>
    <row r="460" spans="1:25" ht="14.25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</row>
    <row r="461" spans="1:25" ht="14.25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</row>
    <row r="462" spans="1:25" ht="14.25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</row>
    <row r="463" spans="1:25" ht="14.25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</row>
    <row r="464" spans="1:25" ht="14.25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</row>
    <row r="465" spans="1:25" ht="14.2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</row>
    <row r="466" spans="1:25" ht="14.25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</row>
    <row r="467" spans="1:25" ht="14.25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</row>
    <row r="468" spans="1:25" ht="14.25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</row>
    <row r="469" spans="1:25" ht="14.25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</row>
    <row r="470" spans="1:25" ht="14.25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</row>
    <row r="471" spans="1:25" ht="14.25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</row>
    <row r="472" spans="1:25" ht="14.25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</row>
    <row r="473" spans="1:25" ht="14.25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</row>
    <row r="474" spans="1:25" ht="14.25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</row>
    <row r="475" spans="1:25" ht="14.2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</row>
    <row r="476" spans="1:25" ht="14.25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</row>
    <row r="477" spans="1:25" ht="14.25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</row>
    <row r="478" spans="1:25" ht="14.25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</row>
    <row r="479" spans="1:25" ht="14.25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</row>
    <row r="480" spans="1:25" ht="14.25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</row>
    <row r="481" spans="1:25" ht="14.25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</row>
    <row r="482" spans="1:25" ht="14.25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</row>
    <row r="483" spans="1:25" ht="14.25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</row>
    <row r="484" spans="1:25" ht="14.25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</row>
    <row r="485" spans="1:25" ht="14.2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</row>
    <row r="486" spans="1:25" ht="14.25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</row>
    <row r="487" spans="1:25" ht="14.25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</row>
    <row r="488" spans="1:25" ht="14.25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</row>
    <row r="489" spans="1:25" ht="14.25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</row>
    <row r="490" spans="1:25" ht="14.25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</row>
    <row r="491" spans="1:25" ht="14.25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</row>
    <row r="492" spans="1:25" ht="14.25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</row>
    <row r="493" spans="1:25" ht="14.25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</row>
    <row r="494" spans="1:25" ht="14.25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</row>
    <row r="495" spans="1:25" ht="14.2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</row>
    <row r="496" spans="1:25" ht="14.25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</row>
    <row r="497" spans="1:25" ht="14.25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</row>
    <row r="498" spans="1:25" ht="14.25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</row>
    <row r="499" spans="1:25" ht="14.25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</row>
    <row r="500" spans="1:25" ht="14.25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</row>
    <row r="501" spans="1:25" ht="14.25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</row>
    <row r="502" spans="1:25" ht="14.25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</row>
    <row r="503" spans="1:25" ht="14.25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</row>
    <row r="504" spans="1:25" ht="14.25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</row>
    <row r="505" spans="1:25" ht="14.2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</row>
    <row r="506" spans="1:25" ht="14.25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</row>
    <row r="507" spans="1:25" ht="14.25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</row>
    <row r="508" spans="1:25" ht="14.25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</row>
    <row r="509" spans="1:25" ht="14.25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</row>
    <row r="510" spans="1:25" ht="14.25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</row>
    <row r="511" spans="1:25" ht="14.25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</row>
    <row r="512" spans="1:25" ht="14.25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</row>
    <row r="513" spans="1:25" ht="14.25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</row>
    <row r="514" spans="1:25" ht="14.25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</row>
    <row r="515" spans="1:25" ht="14.2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</row>
    <row r="516" spans="1:25" ht="14.25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</row>
    <row r="517" spans="1:25" ht="14.25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</row>
    <row r="518" spans="1:25" ht="14.25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</row>
    <row r="519" spans="1:25" ht="14.25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</row>
    <row r="520" spans="1:25" ht="14.25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</row>
    <row r="521" spans="1:25" ht="14.25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</row>
    <row r="522" spans="1:25" ht="14.25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</row>
    <row r="523" spans="1:25" ht="14.25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</row>
    <row r="524" spans="1:25" ht="14.25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</row>
    <row r="525" spans="1:25" ht="14.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</row>
    <row r="526" spans="1:25" ht="14.25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</row>
    <row r="527" spans="1:25" ht="14.25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</row>
    <row r="528" spans="1:25" ht="14.25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</row>
    <row r="529" spans="1:25" ht="14.25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</row>
    <row r="530" spans="1:25" ht="14.25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</row>
    <row r="531" spans="1:25" ht="14.25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</row>
    <row r="532" spans="1:25" ht="14.25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</row>
    <row r="533" spans="1:25" ht="14.25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</row>
    <row r="534" spans="1:25" ht="14.25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</row>
    <row r="535" spans="1:25" ht="14.2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</row>
    <row r="536" spans="1:25" ht="14.25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</row>
    <row r="537" spans="1:25" ht="14.25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</row>
    <row r="538" spans="1:25" ht="14.25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</row>
    <row r="539" spans="1:25" ht="14.25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</row>
    <row r="540" spans="1:25" ht="14.25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</row>
    <row r="541" spans="1:25" ht="14.25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</row>
    <row r="542" spans="1:25" ht="14.25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</row>
    <row r="543" spans="1:25" ht="14.25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</row>
    <row r="544" spans="1:25" ht="14.25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</row>
    <row r="545" spans="1:25" ht="14.2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</row>
    <row r="546" spans="1:25" ht="14.25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</row>
    <row r="547" spans="1:25" ht="14.25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</row>
    <row r="548" spans="1:25" ht="14.25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</row>
    <row r="549" spans="1:25" ht="14.25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</row>
    <row r="550" spans="1:25" ht="14.25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</row>
    <row r="551" spans="1:25" ht="14.25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</row>
    <row r="552" spans="1:25" ht="14.25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</row>
    <row r="553" spans="1:25" ht="14.25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</row>
    <row r="554" spans="1:25" ht="14.25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</row>
    <row r="555" spans="1:25" ht="14.2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</row>
    <row r="556" spans="1:25" ht="14.25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</row>
    <row r="557" spans="1:25" ht="14.25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</row>
    <row r="558" spans="1:25" ht="14.25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</row>
    <row r="559" spans="1:25" ht="14.25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</row>
    <row r="560" spans="1:25" ht="14.25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</row>
    <row r="561" spans="1:25" ht="14.25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</row>
    <row r="562" spans="1:25" ht="14.25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</row>
    <row r="563" spans="1:25" ht="14.25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</row>
    <row r="564" spans="1:25" ht="14.25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</row>
    <row r="565" spans="1:25" ht="14.2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</row>
    <row r="566" spans="1:25" ht="14.25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</row>
    <row r="567" spans="1:25" ht="14.25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</row>
    <row r="568" spans="1:25" ht="14.25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</row>
    <row r="569" spans="1:25" ht="14.25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</row>
    <row r="570" spans="1:25" ht="14.25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</row>
    <row r="571" spans="1:25" ht="14.25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</row>
    <row r="572" spans="1:25" ht="14.25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</row>
    <row r="573" spans="1:25" ht="14.25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</row>
    <row r="574" spans="1:25" ht="14.25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</row>
    <row r="575" spans="1:25" ht="14.2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</row>
    <row r="576" spans="1:25" ht="14.25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</row>
    <row r="577" spans="1:25" ht="14.25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</row>
    <row r="578" spans="1:25" ht="14.25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</row>
    <row r="579" spans="1:25" ht="14.25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</row>
    <row r="580" spans="1:25" ht="14.25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</row>
    <row r="581" spans="1:25" ht="14.25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</row>
    <row r="582" spans="1:25" ht="14.25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</row>
    <row r="583" spans="1:25" ht="14.25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</row>
    <row r="584" spans="1:25" ht="14.25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</row>
    <row r="585" spans="1:25" ht="14.2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</row>
    <row r="586" spans="1:25" ht="14.25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</row>
    <row r="587" spans="1:25" ht="14.25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</row>
    <row r="588" spans="1:25" ht="14.25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</row>
    <row r="589" spans="1:25" ht="14.25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</row>
    <row r="590" spans="1:25" ht="14.25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</row>
    <row r="591" spans="1:25" ht="14.25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</row>
    <row r="592" spans="1:25" ht="14.25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</row>
    <row r="593" spans="1:25" ht="14.25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</row>
    <row r="594" spans="1:25" ht="14.25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</row>
    <row r="595" spans="1:25" ht="14.2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</row>
    <row r="596" spans="1:25" ht="14.25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</row>
    <row r="597" spans="1:25" ht="14.25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</row>
    <row r="598" spans="1:25" ht="14.25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</row>
    <row r="599" spans="1:25" ht="14.25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</row>
    <row r="600" spans="1:25" ht="14.25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</row>
    <row r="601" spans="1:25" ht="14.25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</row>
    <row r="602" spans="1:25" ht="14.25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</row>
    <row r="603" spans="1:25" ht="14.25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</row>
    <row r="604" spans="1:25" ht="14.25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</row>
    <row r="605" spans="1:25" ht="14.2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</row>
    <row r="606" spans="1:25" ht="14.25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</row>
    <row r="607" spans="1:25" ht="14.25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</row>
    <row r="608" spans="1:25" ht="14.25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</row>
    <row r="609" spans="1:25" ht="14.25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</row>
    <row r="610" spans="1:25" ht="14.25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</row>
    <row r="611" spans="1:25" ht="14.25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</row>
    <row r="612" spans="1:25" ht="14.25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</row>
    <row r="613" spans="1:25" ht="14.25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</row>
    <row r="614" spans="1:25" ht="14.25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</row>
    <row r="615" spans="1:25" ht="14.2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</row>
    <row r="616" spans="1:25" ht="14.25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</row>
    <row r="617" spans="1:25" ht="14.25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</row>
    <row r="618" spans="1:25" ht="14.25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</row>
    <row r="619" spans="1:25" ht="14.25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</row>
    <row r="620" spans="1:25" ht="14.25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</row>
    <row r="621" spans="1:25" ht="14.25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</row>
    <row r="622" spans="1:25" ht="14.25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</row>
    <row r="623" spans="1:25" ht="14.25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</row>
    <row r="624" spans="1:25" ht="14.25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</row>
    <row r="625" spans="1:25" ht="14.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</row>
    <row r="626" spans="1:25" ht="14.25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</row>
    <row r="627" spans="1:25" ht="14.25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</row>
    <row r="628" spans="1:25" ht="14.25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</row>
    <row r="629" spans="1:25" ht="14.25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</row>
    <row r="630" spans="1:25" ht="14.25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</row>
    <row r="631" spans="1:25" ht="14.25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</row>
    <row r="632" spans="1:25" ht="14.25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</row>
    <row r="633" spans="1:25" ht="14.25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</row>
    <row r="634" spans="1:25" ht="14.25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</row>
    <row r="635" spans="1:25" ht="14.2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</row>
    <row r="636" spans="1:25" ht="14.25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</row>
    <row r="637" spans="1:25" ht="14.25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</row>
    <row r="638" spans="1:25" ht="14.25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</row>
    <row r="639" spans="1:25" ht="14.25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</row>
    <row r="640" spans="1:25" ht="14.25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</row>
    <row r="641" spans="1:25" ht="14.25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</row>
    <row r="642" spans="1:25" ht="14.25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</row>
    <row r="643" spans="1:25" ht="14.25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</row>
    <row r="644" spans="1:25" ht="14.25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</row>
    <row r="645" spans="1:25" ht="14.2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</row>
    <row r="646" spans="1:25" ht="14.25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</row>
    <row r="647" spans="1:25" ht="14.25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</row>
    <row r="648" spans="1:25" ht="14.25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</row>
    <row r="649" spans="1:25" ht="14.25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</row>
    <row r="650" spans="1:25" ht="14.25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</row>
    <row r="651" spans="1:25" ht="14.25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</row>
    <row r="652" spans="1:25" ht="14.25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</row>
    <row r="653" spans="1:25" ht="14.25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</row>
    <row r="654" spans="1:25" ht="14.25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</row>
    <row r="655" spans="1:25" ht="14.2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</row>
    <row r="656" spans="1:25" ht="14.25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</row>
    <row r="657" spans="1:25" ht="14.25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</row>
    <row r="658" spans="1:25" ht="14.25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</row>
    <row r="659" spans="1:25" ht="14.25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</row>
    <row r="660" spans="1:25" ht="14.25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</row>
    <row r="661" spans="1:25" ht="14.25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</row>
    <row r="662" spans="1:25" ht="14.25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</row>
    <row r="663" spans="1:25" ht="14.25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</row>
    <row r="664" spans="1:25" ht="14.25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</row>
    <row r="665" spans="1:25" ht="14.2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</row>
    <row r="666" spans="1:25" ht="14.25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</row>
    <row r="667" spans="1:25" ht="14.25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</row>
    <row r="668" spans="1:25" ht="14.25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</row>
    <row r="669" spans="1:25" ht="14.25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</row>
    <row r="670" spans="1:25" ht="14.25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</row>
    <row r="671" spans="1:25" ht="14.25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</row>
    <row r="672" spans="1:25" ht="14.25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</row>
    <row r="673" spans="1:25" ht="14.25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</row>
    <row r="674" spans="1:25" ht="14.25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</row>
    <row r="675" spans="1:25" ht="14.2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</row>
    <row r="676" spans="1:25" ht="14.25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</row>
    <row r="677" spans="1:25" ht="14.25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</row>
    <row r="678" spans="1:25" ht="14.25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</row>
    <row r="679" spans="1:25" ht="14.25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</row>
    <row r="680" spans="1:25" ht="14.25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</row>
    <row r="681" spans="1:25" ht="14.25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</row>
    <row r="682" spans="1:25" ht="14.25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</row>
    <row r="683" spans="1:25" ht="14.25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</row>
    <row r="684" spans="1:25" ht="14.25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</row>
    <row r="685" spans="1:25" ht="14.2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</row>
    <row r="686" spans="1:25" ht="14.25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</row>
    <row r="687" spans="1:25" ht="14.25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</row>
    <row r="688" spans="1:25" ht="14.25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</row>
    <row r="689" spans="1:25" ht="14.25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</row>
    <row r="690" spans="1:25" ht="14.25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</row>
    <row r="691" spans="1:25" ht="14.25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</row>
    <row r="692" spans="1:25" ht="14.25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</row>
    <row r="693" spans="1:25" ht="14.25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</row>
    <row r="694" spans="1:25" ht="14.25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</row>
    <row r="695" spans="1:25" ht="14.2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</row>
    <row r="696" spans="1:25" ht="14.25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</row>
    <row r="697" spans="1:25" ht="14.25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</row>
    <row r="698" spans="1:25" ht="14.25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</row>
    <row r="699" spans="1:25" ht="14.25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</row>
    <row r="700" spans="1:25" ht="14.25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</row>
    <row r="701" spans="1:25" ht="14.25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</row>
    <row r="702" spans="1:25" ht="14.25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</row>
    <row r="703" spans="1:25" ht="14.25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</row>
    <row r="704" spans="1:25" ht="14.25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</row>
    <row r="705" spans="1:25" ht="14.2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</row>
    <row r="706" spans="1:25" ht="14.25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</row>
    <row r="707" spans="1:25" ht="14.25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</row>
    <row r="708" spans="1:25" ht="14.25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</row>
    <row r="709" spans="1:25" ht="14.25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</row>
    <row r="710" spans="1:25" ht="14.25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</row>
    <row r="711" spans="1:25" ht="14.25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</row>
    <row r="712" spans="1:25" ht="14.25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</row>
    <row r="713" spans="1:25" ht="14.25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</row>
    <row r="714" spans="1:25" ht="14.25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</row>
    <row r="715" spans="1:25" ht="14.2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</row>
    <row r="716" spans="1:25" ht="14.25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</row>
    <row r="717" spans="1:25" ht="14.25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</row>
    <row r="718" spans="1:25" ht="14.25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</row>
    <row r="719" spans="1:25" ht="14.25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</row>
    <row r="720" spans="1:25" ht="14.25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</row>
    <row r="721" spans="1:25" ht="14.25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</row>
    <row r="722" spans="1:25" ht="14.25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</row>
    <row r="723" spans="1:25" ht="14.25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</row>
    <row r="724" spans="1:25" ht="14.25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</row>
    <row r="725" spans="1:25" ht="14.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</row>
    <row r="726" spans="1:25" ht="14.25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</row>
    <row r="727" spans="1:25" ht="14.25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</row>
    <row r="728" spans="1:25" ht="14.25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</row>
    <row r="729" spans="1:25" ht="14.25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</row>
    <row r="730" spans="1:25" ht="14.25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</row>
    <row r="731" spans="1:25" ht="14.25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</row>
    <row r="732" spans="1:25" ht="14.25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</row>
    <row r="733" spans="1:25" ht="14.25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</row>
    <row r="734" spans="1:25" ht="14.25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</row>
    <row r="735" spans="1:25" ht="14.2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</row>
    <row r="736" spans="1:25" ht="14.25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</row>
    <row r="737" spans="1:25" ht="14.25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</row>
    <row r="738" spans="1:25" ht="14.25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</row>
    <row r="739" spans="1:25" ht="14.25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</row>
    <row r="740" spans="1:25" ht="14.25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</row>
    <row r="741" spans="1:25" ht="14.25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</row>
    <row r="742" spans="1:25" ht="14.25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</row>
    <row r="743" spans="1:25" ht="14.25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</row>
    <row r="744" spans="1:25" ht="14.25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</row>
    <row r="745" spans="1:25" ht="14.2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</row>
    <row r="746" spans="1:25" ht="14.25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</row>
    <row r="747" spans="1:25" ht="14.25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</row>
    <row r="748" spans="1:25" ht="14.25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</row>
    <row r="749" spans="1:25" ht="14.25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</row>
    <row r="750" spans="1:25" ht="14.25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</row>
    <row r="751" spans="1:25" ht="14.25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</row>
    <row r="752" spans="1:25" ht="14.25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</row>
    <row r="753" spans="1:25" ht="14.25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</row>
    <row r="754" spans="1:25" ht="14.25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</row>
    <row r="755" spans="1:25" ht="14.2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</row>
    <row r="756" spans="1:25" ht="14.25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</row>
    <row r="757" spans="1:25" ht="14.25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</row>
    <row r="758" spans="1:25" ht="14.25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</row>
    <row r="759" spans="1:25" ht="14.25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</row>
    <row r="760" spans="1:25" ht="14.25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</row>
    <row r="761" spans="1:25" ht="14.25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</row>
    <row r="762" spans="1:25" ht="14.25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</row>
    <row r="763" spans="1:25" ht="14.25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</row>
    <row r="764" spans="1:25" ht="14.25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</row>
    <row r="765" spans="1:25" ht="14.2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</row>
    <row r="766" spans="1:25" ht="14.25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</row>
    <row r="767" spans="1:25" ht="14.25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</row>
    <row r="768" spans="1:25" ht="14.25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</row>
    <row r="769" spans="1:25" ht="14.25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</row>
    <row r="770" spans="1:25" ht="14.25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</row>
    <row r="771" spans="1:25" ht="14.25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</row>
    <row r="772" spans="1:25" ht="14.25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</row>
    <row r="773" spans="1:25" ht="14.25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</row>
    <row r="774" spans="1:25" ht="14.25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</row>
    <row r="775" spans="1:25" ht="14.2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</row>
    <row r="776" spans="1:25" ht="14.25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</row>
    <row r="777" spans="1:25" ht="14.25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</row>
    <row r="778" spans="1:25" ht="14.25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</row>
    <row r="779" spans="1:25" ht="14.25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</row>
    <row r="780" spans="1:25" ht="14.25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</row>
    <row r="781" spans="1:25" ht="14.25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</row>
    <row r="782" spans="1:25" ht="14.25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</row>
    <row r="783" spans="1:25" ht="14.25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</row>
    <row r="784" spans="1:25" ht="14.25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</row>
    <row r="785" spans="1:25" ht="14.2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</row>
    <row r="786" spans="1:25" ht="14.25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</row>
    <row r="787" spans="1:25" ht="14.25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</row>
    <row r="788" spans="1:25" ht="14.25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</row>
    <row r="789" spans="1:25" ht="14.25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</row>
    <row r="790" spans="1:25" ht="14.25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</row>
    <row r="791" spans="1:25" ht="14.25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</row>
    <row r="792" spans="1:25" ht="14.25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</row>
    <row r="793" spans="1:25" ht="14.25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</row>
    <row r="794" spans="1:25" ht="14.25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</row>
    <row r="795" spans="1:25" ht="14.2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</row>
    <row r="796" spans="1:25" ht="14.25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</row>
    <row r="797" spans="1:25" ht="14.25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</row>
    <row r="798" spans="1:25" ht="14.25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</row>
    <row r="799" spans="1:25" ht="14.25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</row>
    <row r="800" spans="1:25" ht="14.25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</row>
    <row r="801" spans="1:25" ht="14.25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</row>
    <row r="802" spans="1:25" ht="14.25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</row>
    <row r="803" spans="1:25" ht="14.25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</row>
    <row r="804" spans="1:25" ht="14.25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</row>
    <row r="805" spans="1:25" ht="14.2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</row>
    <row r="806" spans="1:25" ht="14.25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</row>
    <row r="807" spans="1:25" ht="14.25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</row>
    <row r="808" spans="1:25" ht="14.25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</row>
    <row r="809" spans="1:25" ht="14.25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</row>
    <row r="810" spans="1:25" ht="14.25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</row>
    <row r="811" spans="1:25" ht="14.25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</row>
    <row r="812" spans="1:25" ht="14.25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</row>
    <row r="813" spans="1:25" ht="14.25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</row>
    <row r="814" spans="1:25" ht="14.25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</row>
    <row r="815" spans="1:25" ht="14.2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</row>
    <row r="816" spans="1:25" ht="14.25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</row>
    <row r="817" spans="1:25" ht="14.25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</row>
    <row r="818" spans="1:25" ht="14.25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</row>
    <row r="819" spans="1:25" ht="14.25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</row>
    <row r="820" spans="1:25" ht="14.25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</row>
    <row r="821" spans="1:25" ht="14.25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</row>
    <row r="822" spans="1:25" ht="14.25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</row>
    <row r="823" spans="1:25" ht="14.25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</row>
    <row r="824" spans="1:25" ht="14.25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</row>
    <row r="825" spans="1:25" ht="14.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</row>
    <row r="826" spans="1:25" ht="14.25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</row>
    <row r="827" spans="1:25" ht="14.25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</row>
    <row r="828" spans="1:25" ht="14.25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</row>
    <row r="829" spans="1:25" ht="14.25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</row>
    <row r="830" spans="1:25" ht="14.25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</row>
    <row r="831" spans="1:25" ht="14.25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</row>
    <row r="832" spans="1:25" ht="14.25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</row>
    <row r="833" spans="1:25" ht="14.25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</row>
    <row r="834" spans="1:25" ht="14.25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</row>
    <row r="835" spans="1:25" ht="14.2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</row>
    <row r="836" spans="1:25" ht="14.25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</row>
    <row r="837" spans="1:25" ht="14.25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</row>
    <row r="838" spans="1:25" ht="14.25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</row>
    <row r="839" spans="1:25" ht="14.25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</row>
    <row r="840" spans="1:25" ht="14.25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</row>
    <row r="841" spans="1:25" ht="14.25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</row>
    <row r="842" spans="1:25" ht="14.25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</row>
    <row r="843" spans="1:25" ht="14.25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</row>
    <row r="844" spans="1:25" ht="14.25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</row>
    <row r="845" spans="1:25" ht="14.2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</row>
    <row r="846" spans="1:25" ht="14.25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</row>
    <row r="847" spans="1:25" ht="14.25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</row>
    <row r="848" spans="1:25" ht="14.25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</row>
    <row r="849" spans="1:25" ht="14.25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</row>
    <row r="850" spans="1:25" ht="14.25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</row>
    <row r="851" spans="1:25" ht="14.25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</row>
    <row r="852" spans="1:25" ht="14.25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</row>
    <row r="853" spans="1:25" ht="14.25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</row>
    <row r="854" spans="1:25" ht="14.25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</row>
    <row r="855" spans="1:25" ht="14.2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</row>
    <row r="856" spans="1:25" ht="14.25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</row>
    <row r="857" spans="1:25" ht="14.25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</row>
    <row r="858" spans="1:25" ht="14.25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</row>
    <row r="859" spans="1:25" ht="14.25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</row>
    <row r="860" spans="1:25" ht="14.25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</row>
    <row r="861" spans="1:25" ht="14.25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</row>
    <row r="862" spans="1:25" ht="14.25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</row>
    <row r="863" spans="1:25" ht="14.25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</row>
    <row r="864" spans="1:25" ht="14.25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</row>
    <row r="865" spans="1:25" ht="14.2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</row>
    <row r="866" spans="1:25" ht="14.25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</row>
    <row r="867" spans="1:25" ht="14.25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</row>
    <row r="868" spans="1:25" ht="14.25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</row>
    <row r="869" spans="1:25" ht="14.25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</row>
    <row r="870" spans="1:25" ht="14.25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</row>
    <row r="871" spans="1:25" ht="14.25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</row>
    <row r="872" spans="1:25" ht="14.25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</row>
    <row r="873" spans="1:25" ht="14.25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</row>
    <row r="874" spans="1:25" ht="14.25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</row>
    <row r="875" spans="1:25" ht="14.2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</row>
    <row r="876" spans="1:25" ht="14.25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</row>
    <row r="877" spans="1:25" ht="14.25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</row>
    <row r="878" spans="1:25" ht="14.25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</row>
    <row r="879" spans="1:25" ht="14.25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</row>
    <row r="880" spans="1:25" ht="14.25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</row>
    <row r="881" spans="1:25" ht="14.25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</row>
    <row r="882" spans="1:25" ht="14.25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</row>
    <row r="883" spans="1:25" ht="14.25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</row>
    <row r="884" spans="1:25" ht="14.25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</row>
    <row r="885" spans="1:25" ht="14.2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</row>
    <row r="886" spans="1:25" ht="14.25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</row>
    <row r="887" spans="1:25" ht="14.25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</row>
    <row r="888" spans="1:25" ht="14.25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</row>
    <row r="889" spans="1:25" ht="14.25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</row>
    <row r="890" spans="1:25" ht="14.25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</row>
    <row r="891" spans="1:25" ht="14.25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</row>
    <row r="892" spans="1:25" ht="14.25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</row>
    <row r="893" spans="1:25" ht="14.25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</row>
    <row r="894" spans="1:25" ht="14.25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</row>
    <row r="895" spans="1:25" ht="14.2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</row>
    <row r="896" spans="1:25" ht="14.25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</row>
    <row r="897" spans="1:25" ht="14.25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</row>
    <row r="898" spans="1:25" ht="14.25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</row>
    <row r="899" spans="1:25" ht="14.25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</row>
    <row r="900" spans="1:25" ht="14.25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</row>
    <row r="901" spans="1:25" ht="14.25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</row>
    <row r="902" spans="1:25" ht="14.25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</row>
    <row r="903" spans="1:25" ht="14.25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</row>
    <row r="904" spans="1:25" ht="14.25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</row>
    <row r="905" spans="1:25" ht="14.2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</row>
    <row r="906" spans="1:25" ht="14.25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</row>
    <row r="907" spans="1:25" ht="14.25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</row>
    <row r="908" spans="1:25" ht="14.25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</row>
    <row r="909" spans="1:25" ht="14.25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</row>
    <row r="910" spans="1:25" ht="14.25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</row>
    <row r="911" spans="1:25" ht="14.25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</row>
    <row r="912" spans="1:25" ht="14.25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</row>
    <row r="913" spans="1:25" ht="14.25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</row>
    <row r="914" spans="1:25" ht="14.25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</row>
    <row r="915" spans="1:25" ht="14.2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</row>
    <row r="916" spans="1:25" ht="14.25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</row>
    <row r="917" spans="1:25" ht="14.25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</row>
    <row r="918" spans="1:25" ht="14.25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</row>
    <row r="919" spans="1:25" ht="14.25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</row>
    <row r="920" spans="1:25" ht="14.25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</row>
    <row r="921" spans="1:25" ht="14.25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</row>
    <row r="922" spans="1:25" ht="14.25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</row>
    <row r="923" spans="1:25" ht="14.25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</row>
    <row r="924" spans="1:25" ht="14.25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</row>
    <row r="925" spans="1:25" ht="14.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</row>
    <row r="926" spans="1:25" ht="14.25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</row>
    <row r="927" spans="1:25" ht="14.25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</row>
    <row r="928" spans="1:25" ht="14.25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</row>
    <row r="929" spans="1:25" ht="14.25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</row>
    <row r="930" spans="1:25" ht="14.25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</row>
    <row r="931" spans="1:25" ht="14.25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</row>
    <row r="932" spans="1:25" ht="14.25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</row>
    <row r="933" spans="1:25" ht="14.25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</row>
    <row r="934" spans="1:25" ht="14.25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</row>
    <row r="935" spans="1:25" ht="14.2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</row>
    <row r="936" spans="1:25" ht="14.25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</row>
    <row r="937" spans="1:25" ht="14.25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</row>
    <row r="938" spans="1:25" ht="14.25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</row>
    <row r="939" spans="1:25" ht="14.25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</row>
    <row r="940" spans="1:25" ht="14.25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</row>
    <row r="941" spans="1:25" ht="14.25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</row>
    <row r="942" spans="1:25" ht="14.25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</row>
    <row r="943" spans="1:25" ht="14.25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</row>
    <row r="944" spans="1:25" ht="14.25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</row>
    <row r="945" spans="1:25" ht="14.2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</row>
    <row r="946" spans="1:25" ht="14.25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</row>
    <row r="947" spans="1:25" ht="14.25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</row>
    <row r="948" spans="1:25" ht="14.25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</row>
    <row r="949" spans="1:25" ht="14.25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</row>
    <row r="950" spans="1:25" ht="14.25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</row>
    <row r="951" spans="1:25" ht="14.25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</row>
    <row r="952" spans="1:25" ht="14.25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</row>
    <row r="953" spans="1:25" ht="14.25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</row>
    <row r="954" spans="1:25" ht="14.25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</row>
    <row r="955" spans="1:25" ht="14.2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</row>
    <row r="956" spans="1:25" ht="14.25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</row>
    <row r="957" spans="1:25" ht="14.25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</row>
    <row r="958" spans="1:25" ht="14.25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</row>
    <row r="959" spans="1:25" ht="14.25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</row>
    <row r="960" spans="1:25" ht="14.25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</row>
    <row r="961" spans="1:25" ht="14.25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</row>
    <row r="962" spans="1:25" ht="14.25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</row>
    <row r="963" spans="1:25" ht="14.25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</row>
    <row r="964" spans="1:25" ht="14.25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</row>
    <row r="965" spans="1:25" ht="14.2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</row>
    <row r="966" spans="1:25" ht="14.25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</row>
    <row r="967" spans="1:25" ht="14.25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</row>
    <row r="968" spans="1:25" ht="14.25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</row>
    <row r="969" spans="1:25" ht="14.25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</row>
    <row r="970" spans="1:25" ht="14.25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</row>
    <row r="971" spans="1:25" ht="14.25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</row>
    <row r="972" spans="1:25" ht="14.25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</row>
    <row r="973" spans="1:25" ht="14.25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</row>
    <row r="974" spans="1:25" ht="14.25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</row>
    <row r="975" spans="1:25" ht="14.2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</row>
    <row r="976" spans="1:25" ht="14.25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</row>
    <row r="977" spans="1:25" ht="14.25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</row>
    <row r="978" spans="1:25" ht="14.25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</row>
    <row r="979" spans="1:25" ht="14.25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</row>
    <row r="980" spans="1:25" ht="14.25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</row>
    <row r="981" spans="1:25" ht="14.25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</row>
    <row r="982" spans="1:25" ht="14.25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</row>
    <row r="983" spans="1:25" ht="14.25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</row>
    <row r="984" spans="1:25" ht="14.25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</row>
    <row r="985" spans="1:25" ht="14.2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</row>
    <row r="986" spans="1:25" ht="14.25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</row>
    <row r="987" spans="1:25" ht="14.25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</row>
    <row r="988" spans="1:25" ht="14.25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</row>
    <row r="989" spans="1:25" ht="14.25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</row>
    <row r="990" spans="1:25" ht="14.25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</row>
    <row r="991" spans="1:25" ht="14.25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</row>
    <row r="992" spans="1:25" ht="14.25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</row>
    <row r="993" spans="1:25" ht="14.25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</row>
    <row r="994" spans="1:25" ht="14.25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</row>
    <row r="995" spans="1:25" ht="14.2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</row>
    <row r="996" spans="1:25" ht="14.25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</row>
    <row r="997" spans="1:25" ht="14.25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</row>
    <row r="998" spans="1:25" ht="14.25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</row>
    <row r="999" spans="1:25" ht="14.25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</row>
    <row r="1000" spans="1:25" ht="14.25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000"/>
  <sheetViews>
    <sheetView tabSelected="1" workbookViewId="0">
      <selection activeCell="L18" sqref="L18"/>
    </sheetView>
  </sheetViews>
  <sheetFormatPr defaultColWidth="14.5" defaultRowHeight="15" customHeight="1"/>
  <cols>
    <col min="1" max="2" width="8.625" customWidth="1"/>
    <col min="3" max="3" width="20.125" customWidth="1"/>
    <col min="4" max="4" width="23.375" customWidth="1"/>
    <col min="5" max="5" width="22" customWidth="1"/>
    <col min="6" max="6" width="21.375" customWidth="1"/>
    <col min="7" max="7" width="13" customWidth="1"/>
    <col min="8" max="8" width="13.875" customWidth="1"/>
    <col min="9" max="11" width="8.625" customWidth="1"/>
    <col min="12" max="12" width="15.375" customWidth="1"/>
    <col min="13" max="13" width="18.375" customWidth="1"/>
    <col min="14" max="17" width="8.625" customWidth="1"/>
    <col min="18" max="18" width="12.125" customWidth="1"/>
    <col min="19" max="20" width="8.625" customWidth="1"/>
    <col min="21" max="21" width="15.625" customWidth="1"/>
    <col min="22" max="26" width="8.625" customWidth="1"/>
  </cols>
  <sheetData>
    <row r="1" spans="1:24" ht="14.25" customHeight="1">
      <c r="A1" s="1" t="s">
        <v>0</v>
      </c>
      <c r="B1" s="1" t="s">
        <v>1</v>
      </c>
      <c r="C1" s="1" t="s">
        <v>54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59</v>
      </c>
      <c r="L1" s="2"/>
      <c r="M1" s="2"/>
      <c r="R1" s="12" t="s">
        <v>58</v>
      </c>
      <c r="U1" s="12" t="s">
        <v>59</v>
      </c>
    </row>
    <row r="2" spans="1:24" ht="14.25" customHeight="1">
      <c r="A2" s="1" t="s">
        <v>2</v>
      </c>
      <c r="B2" s="1">
        <v>11</v>
      </c>
      <c r="C2" s="1">
        <v>46</v>
      </c>
      <c r="D2" s="1">
        <v>25</v>
      </c>
      <c r="E2" s="1">
        <v>71</v>
      </c>
      <c r="F2" s="1">
        <v>36</v>
      </c>
      <c r="G2" s="1">
        <v>0.65714285714285714</v>
      </c>
      <c r="H2" s="1">
        <v>0.7142857142857143</v>
      </c>
      <c r="L2" s="2"/>
      <c r="M2" s="2"/>
      <c r="R2" s="1" t="s">
        <v>60</v>
      </c>
      <c r="S2" s="1" t="s">
        <v>3</v>
      </c>
      <c r="U2" s="1" t="s">
        <v>60</v>
      </c>
      <c r="V2" s="1" t="s">
        <v>3</v>
      </c>
      <c r="X2" s="1" t="s">
        <v>4</v>
      </c>
    </row>
    <row r="3" spans="1:24" ht="14.25" customHeight="1">
      <c r="A3" s="1" t="s">
        <v>2</v>
      </c>
      <c r="B3" s="1">
        <v>12</v>
      </c>
      <c r="C3" s="1">
        <v>40</v>
      </c>
      <c r="D3" s="1">
        <v>26</v>
      </c>
      <c r="E3" s="1">
        <v>66</v>
      </c>
      <c r="F3" s="1">
        <v>39</v>
      </c>
      <c r="G3" s="1">
        <v>0.61538461538461542</v>
      </c>
      <c r="H3" s="1">
        <v>0.68421052631578949</v>
      </c>
      <c r="L3" s="2"/>
      <c r="M3" s="2"/>
      <c r="P3" s="1" t="s">
        <v>2</v>
      </c>
      <c r="R3" s="1">
        <v>0.63213710649869448</v>
      </c>
      <c r="S3">
        <f>STDEV(G2:G11)</f>
        <v>5.5198772324426881E-2</v>
      </c>
      <c r="U3" s="1">
        <v>0.69691374250655647</v>
      </c>
      <c r="V3">
        <f>STDEV(H2:H11)</f>
        <v>6.5192408506681829E-2</v>
      </c>
      <c r="X3" s="1">
        <v>2.8000000000000001E-2</v>
      </c>
    </row>
    <row r="4" spans="1:24" ht="14.25" customHeight="1">
      <c r="A4" s="1" t="s">
        <v>2</v>
      </c>
      <c r="B4" s="1">
        <v>13</v>
      </c>
      <c r="C4" s="1">
        <v>46</v>
      </c>
      <c r="D4" s="1">
        <v>22</v>
      </c>
      <c r="E4" s="1">
        <v>68</v>
      </c>
      <c r="F4" s="1">
        <v>32</v>
      </c>
      <c r="G4" s="1">
        <v>0.68656716417910446</v>
      </c>
      <c r="H4" s="1">
        <v>0.70967741935483875</v>
      </c>
      <c r="L4" s="2"/>
      <c r="M4" s="2"/>
      <c r="P4" s="1" t="s">
        <v>5</v>
      </c>
      <c r="R4" s="1">
        <v>0.74544119540808751</v>
      </c>
      <c r="S4">
        <f>STDEV(G12:G21)</f>
        <v>7.7212116659567828E-2</v>
      </c>
      <c r="U4" s="1">
        <v>0.71938730495709902</v>
      </c>
      <c r="V4">
        <f>STDEV(H12:H21)</f>
        <v>9.2006562471088793E-2</v>
      </c>
      <c r="X4" s="1">
        <v>0.44500000000000001</v>
      </c>
    </row>
    <row r="5" spans="1:24" ht="14.25" customHeight="1">
      <c r="A5" s="1" t="s">
        <v>2</v>
      </c>
      <c r="B5" s="1">
        <v>14</v>
      </c>
      <c r="C5" s="1">
        <v>35</v>
      </c>
      <c r="D5" s="1">
        <v>25</v>
      </c>
      <c r="E5" s="1">
        <v>60</v>
      </c>
      <c r="F5" s="1">
        <v>36</v>
      </c>
      <c r="G5" s="1">
        <v>0.59322033898305082</v>
      </c>
      <c r="H5" s="1">
        <v>0.7142857142857143</v>
      </c>
      <c r="L5" s="2"/>
      <c r="M5" s="2"/>
      <c r="P5" s="1" t="s">
        <v>6</v>
      </c>
      <c r="R5" s="1">
        <v>0.6982466473155563</v>
      </c>
      <c r="S5">
        <f>STDEV(G22:G31)</f>
        <v>8.3584080277535278E-2</v>
      </c>
      <c r="U5" s="1">
        <v>0.7058832471875951</v>
      </c>
      <c r="V5">
        <f>STDEV(H22:H31)</f>
        <v>4.9916960307211489E-2</v>
      </c>
      <c r="X5" s="1">
        <v>0.878</v>
      </c>
    </row>
    <row r="6" spans="1:24" ht="14.25" customHeight="1">
      <c r="A6" s="1" t="s">
        <v>2</v>
      </c>
      <c r="B6" s="1">
        <v>15</v>
      </c>
      <c r="C6" s="1">
        <v>38</v>
      </c>
      <c r="D6" s="1">
        <v>26</v>
      </c>
      <c r="E6" s="1">
        <v>64</v>
      </c>
      <c r="F6" s="1">
        <v>41</v>
      </c>
      <c r="G6" s="1">
        <v>0.60317460317460314</v>
      </c>
      <c r="H6" s="1">
        <v>0.65</v>
      </c>
      <c r="L6" s="2"/>
      <c r="M6" s="2"/>
    </row>
    <row r="7" spans="1:24" ht="14.25" customHeight="1">
      <c r="A7" s="1" t="s">
        <v>2</v>
      </c>
      <c r="B7" s="1">
        <v>16</v>
      </c>
      <c r="C7" s="1">
        <v>30</v>
      </c>
      <c r="D7" s="1">
        <v>28</v>
      </c>
      <c r="E7" s="1">
        <v>58</v>
      </c>
      <c r="F7" s="1">
        <v>42</v>
      </c>
      <c r="G7" s="1">
        <v>0.52631578947368418</v>
      </c>
      <c r="H7" s="1">
        <v>0.68292682926829273</v>
      </c>
      <c r="L7" s="2"/>
      <c r="M7" s="2"/>
    </row>
    <row r="8" spans="1:24" ht="14.25" customHeight="1">
      <c r="A8" s="1" t="s">
        <v>2</v>
      </c>
      <c r="B8" s="1">
        <v>17</v>
      </c>
      <c r="C8" s="1">
        <v>31</v>
      </c>
      <c r="D8" s="1">
        <v>20</v>
      </c>
      <c r="E8" s="1">
        <v>51</v>
      </c>
      <c r="F8" s="1">
        <v>26</v>
      </c>
      <c r="G8" s="1">
        <v>0.62</v>
      </c>
      <c r="H8" s="1">
        <v>0.8</v>
      </c>
      <c r="L8" s="2"/>
      <c r="M8" s="2"/>
    </row>
    <row r="9" spans="1:24" ht="14.25" customHeight="1">
      <c r="A9" s="1" t="s">
        <v>2</v>
      </c>
      <c r="B9" s="1">
        <v>18</v>
      </c>
      <c r="C9" s="1">
        <v>42</v>
      </c>
      <c r="D9" s="1">
        <v>23</v>
      </c>
      <c r="E9" s="1">
        <v>65</v>
      </c>
      <c r="F9" s="1">
        <v>39</v>
      </c>
      <c r="G9" s="1">
        <v>0.65625</v>
      </c>
      <c r="H9" s="1">
        <v>0.60526315789473684</v>
      </c>
      <c r="L9" s="2"/>
      <c r="M9" s="2"/>
    </row>
    <row r="10" spans="1:24" ht="14.25" customHeight="1">
      <c r="A10" s="1" t="s">
        <v>2</v>
      </c>
      <c r="B10" s="1">
        <v>19</v>
      </c>
      <c r="C10" s="1">
        <v>59</v>
      </c>
      <c r="D10" s="1">
        <v>23</v>
      </c>
      <c r="E10" s="1">
        <v>82</v>
      </c>
      <c r="F10" s="1">
        <v>30</v>
      </c>
      <c r="G10" s="1">
        <v>0.72839506172839508</v>
      </c>
      <c r="H10" s="1">
        <v>0.7931034482758621</v>
      </c>
      <c r="L10" s="2"/>
      <c r="M10" s="2"/>
    </row>
    <row r="11" spans="1:24" ht="14.25" customHeight="1">
      <c r="A11" s="1" t="s">
        <v>2</v>
      </c>
      <c r="B11" s="1">
        <v>20</v>
      </c>
      <c r="C11" s="1">
        <v>40</v>
      </c>
      <c r="D11" s="1">
        <v>24</v>
      </c>
      <c r="E11" s="1">
        <v>64</v>
      </c>
      <c r="F11" s="1">
        <v>40</v>
      </c>
      <c r="G11" s="1">
        <v>0.63492063492063489</v>
      </c>
      <c r="H11" s="1">
        <v>0.61538461538461542</v>
      </c>
      <c r="L11" s="2"/>
      <c r="M11" s="2"/>
    </row>
    <row r="12" spans="1:24" ht="14.25" customHeight="1">
      <c r="A12" s="1" t="s">
        <v>5</v>
      </c>
      <c r="B12" s="1">
        <v>11</v>
      </c>
      <c r="C12" s="1">
        <v>51</v>
      </c>
      <c r="D12" s="1">
        <v>14</v>
      </c>
      <c r="E12" s="1">
        <v>66</v>
      </c>
      <c r="F12" s="1">
        <v>20</v>
      </c>
      <c r="G12" s="1">
        <v>0.7846153846153846</v>
      </c>
      <c r="H12" s="1">
        <v>0.73684210526315785</v>
      </c>
      <c r="L12" s="2"/>
      <c r="M12" s="2"/>
    </row>
    <row r="13" spans="1:24" ht="14.25" customHeight="1">
      <c r="A13" s="1" t="s">
        <v>5</v>
      </c>
      <c r="B13" s="1">
        <v>12</v>
      </c>
      <c r="C13" s="1">
        <v>46</v>
      </c>
      <c r="D13" s="1">
        <v>19</v>
      </c>
      <c r="E13" s="1">
        <v>65</v>
      </c>
      <c r="F13" s="1">
        <v>24</v>
      </c>
      <c r="G13" s="1">
        <v>0.71875</v>
      </c>
      <c r="H13" s="1">
        <v>0.82608695652173914</v>
      </c>
      <c r="L13" s="2"/>
      <c r="M13" s="2"/>
    </row>
    <row r="14" spans="1:24" ht="14.25" customHeight="1">
      <c r="A14" s="1" t="s">
        <v>5</v>
      </c>
      <c r="B14" s="1">
        <v>13</v>
      </c>
      <c r="C14" s="1">
        <v>38</v>
      </c>
      <c r="D14" s="1">
        <v>22</v>
      </c>
      <c r="E14" s="1">
        <v>60</v>
      </c>
      <c r="F14" s="1">
        <v>26</v>
      </c>
      <c r="G14" s="1">
        <v>0.64406779661016944</v>
      </c>
      <c r="H14" s="1">
        <v>0.88</v>
      </c>
      <c r="L14" s="2"/>
      <c r="M14" s="2"/>
    </row>
    <row r="15" spans="1:24" ht="14.25" customHeight="1">
      <c r="A15" s="1" t="s">
        <v>5</v>
      </c>
      <c r="B15" s="1">
        <v>14</v>
      </c>
      <c r="C15" s="1">
        <v>41</v>
      </c>
      <c r="D15" s="1">
        <v>15</v>
      </c>
      <c r="E15" s="1">
        <v>56</v>
      </c>
      <c r="F15" s="1">
        <v>20</v>
      </c>
      <c r="G15" s="1">
        <v>0.74545454545454548</v>
      </c>
      <c r="H15" s="1">
        <v>0.78947368421052633</v>
      </c>
      <c r="L15" s="2"/>
      <c r="M15" s="2"/>
    </row>
    <row r="16" spans="1:24" ht="14.25" customHeight="1">
      <c r="A16" s="1" t="s">
        <v>5</v>
      </c>
      <c r="B16" s="1">
        <v>15</v>
      </c>
      <c r="C16" s="1">
        <v>35</v>
      </c>
      <c r="D16" s="1">
        <v>17</v>
      </c>
      <c r="E16" s="1">
        <v>52</v>
      </c>
      <c r="F16" s="1">
        <v>28</v>
      </c>
      <c r="G16" s="1">
        <v>0.68627450980392157</v>
      </c>
      <c r="H16" s="1">
        <v>0.62962962962962965</v>
      </c>
      <c r="L16" s="2"/>
      <c r="M16" s="2"/>
    </row>
    <row r="17" spans="1:13" ht="14.25" customHeight="1">
      <c r="A17" s="1" t="s">
        <v>5</v>
      </c>
      <c r="B17" s="1">
        <v>16</v>
      </c>
      <c r="C17" s="1">
        <v>56</v>
      </c>
      <c r="D17" s="1">
        <v>13</v>
      </c>
      <c r="E17" s="1">
        <v>69</v>
      </c>
      <c r="F17" s="1">
        <v>19</v>
      </c>
      <c r="G17" s="1">
        <v>0.82352941176470584</v>
      </c>
      <c r="H17" s="1">
        <v>0.72222222222222221</v>
      </c>
      <c r="L17" s="2"/>
      <c r="M17" s="2"/>
    </row>
    <row r="18" spans="1:13" ht="14.25" customHeight="1">
      <c r="A18" s="1" t="s">
        <v>5</v>
      </c>
      <c r="B18" s="1">
        <v>17</v>
      </c>
      <c r="C18" s="1">
        <v>50</v>
      </c>
      <c r="D18" s="1">
        <v>15</v>
      </c>
      <c r="E18" s="1">
        <v>65</v>
      </c>
      <c r="F18" s="1">
        <v>23</v>
      </c>
      <c r="G18" s="1">
        <v>0.78125</v>
      </c>
      <c r="H18" s="1">
        <v>0.68181818181818177</v>
      </c>
      <c r="L18" s="2"/>
      <c r="M18" s="2"/>
    </row>
    <row r="19" spans="1:13" ht="14.25" customHeight="1">
      <c r="A19" s="1" t="s">
        <v>5</v>
      </c>
      <c r="B19" s="1">
        <v>18</v>
      </c>
      <c r="C19" s="1">
        <v>45</v>
      </c>
      <c r="D19" s="1">
        <v>13</v>
      </c>
      <c r="E19" s="1">
        <v>58</v>
      </c>
      <c r="F19" s="1">
        <v>20</v>
      </c>
      <c r="G19" s="1">
        <v>0.78947368421052633</v>
      </c>
      <c r="H19" s="1">
        <v>0.68421052631578949</v>
      </c>
      <c r="L19" s="2"/>
      <c r="M19" s="2"/>
    </row>
    <row r="20" spans="1:13" ht="14.25" customHeight="1">
      <c r="A20" s="1" t="s">
        <v>5</v>
      </c>
      <c r="B20" s="1">
        <v>19</v>
      </c>
      <c r="C20" s="1">
        <v>23</v>
      </c>
      <c r="D20" s="1">
        <v>15</v>
      </c>
      <c r="E20" s="1">
        <v>38</v>
      </c>
      <c r="F20" s="1">
        <v>27</v>
      </c>
      <c r="G20" s="1">
        <v>0.6216216216216216</v>
      </c>
      <c r="H20" s="1">
        <v>0.57692307692307687</v>
      </c>
      <c r="L20" s="2"/>
      <c r="M20" s="2"/>
    </row>
    <row r="21" spans="1:13" ht="14.25" customHeight="1">
      <c r="A21" s="1" t="s">
        <v>5</v>
      </c>
      <c r="B21" s="1">
        <v>20</v>
      </c>
      <c r="C21" s="1">
        <v>55</v>
      </c>
      <c r="D21" s="1">
        <v>10</v>
      </c>
      <c r="E21" s="1">
        <v>65</v>
      </c>
      <c r="F21" s="1">
        <v>16</v>
      </c>
      <c r="G21" s="1">
        <v>0.859375</v>
      </c>
      <c r="H21" s="1">
        <v>0.66666666666666663</v>
      </c>
      <c r="L21" s="2"/>
      <c r="M21" s="2"/>
    </row>
    <row r="22" spans="1:13" ht="14.25" customHeight="1">
      <c r="A22" s="1" t="s">
        <v>6</v>
      </c>
      <c r="B22" s="1">
        <v>11</v>
      </c>
      <c r="C22" s="1">
        <v>42</v>
      </c>
      <c r="D22" s="1">
        <v>13</v>
      </c>
      <c r="E22" s="1">
        <v>56</v>
      </c>
      <c r="F22" s="1">
        <v>19</v>
      </c>
      <c r="G22" s="1">
        <v>0.76363636363636367</v>
      </c>
      <c r="H22" s="1">
        <v>0.72222222222222221</v>
      </c>
      <c r="L22" s="2"/>
      <c r="M22" s="2"/>
    </row>
    <row r="23" spans="1:13" ht="14.25" customHeight="1">
      <c r="A23" s="1" t="s">
        <v>6</v>
      </c>
      <c r="B23" s="1">
        <v>12</v>
      </c>
      <c r="C23" s="1">
        <v>41</v>
      </c>
      <c r="D23" s="1">
        <v>14</v>
      </c>
      <c r="E23" s="1">
        <v>55</v>
      </c>
      <c r="F23" s="1">
        <v>19</v>
      </c>
      <c r="G23" s="1">
        <v>0.7592592592592593</v>
      </c>
      <c r="H23" s="1">
        <v>0.77777777777777779</v>
      </c>
      <c r="L23" s="2"/>
      <c r="M23" s="2"/>
    </row>
    <row r="24" spans="1:13" ht="14.25" customHeight="1">
      <c r="A24" s="1" t="s">
        <v>6</v>
      </c>
      <c r="B24" s="1">
        <v>13</v>
      </c>
      <c r="C24" s="1">
        <v>42</v>
      </c>
      <c r="D24" s="1">
        <v>12</v>
      </c>
      <c r="E24" s="1">
        <v>54</v>
      </c>
      <c r="F24" s="1">
        <v>19</v>
      </c>
      <c r="G24" s="1">
        <v>0.79245283018867929</v>
      </c>
      <c r="H24" s="1">
        <v>0.66666666666666663</v>
      </c>
      <c r="L24" s="2"/>
      <c r="M24" s="2"/>
    </row>
    <row r="25" spans="1:13" ht="14.25" customHeight="1">
      <c r="A25" s="1" t="s">
        <v>6</v>
      </c>
      <c r="B25" s="1">
        <v>14</v>
      </c>
      <c r="C25" s="1">
        <v>27</v>
      </c>
      <c r="D25" s="1">
        <v>18</v>
      </c>
      <c r="E25" s="1">
        <v>45</v>
      </c>
      <c r="F25" s="1">
        <v>24</v>
      </c>
      <c r="G25" s="1">
        <v>0.61363636363636365</v>
      </c>
      <c r="H25" s="1">
        <v>0.78260869565217395</v>
      </c>
      <c r="L25" s="2"/>
      <c r="M25" s="2"/>
    </row>
    <row r="26" spans="1:13" ht="14.25" customHeight="1">
      <c r="A26" s="1" t="s">
        <v>6</v>
      </c>
      <c r="B26" s="1">
        <v>15</v>
      </c>
      <c r="C26" s="1">
        <v>30</v>
      </c>
      <c r="D26" s="1">
        <v>16</v>
      </c>
      <c r="E26" s="1">
        <v>46</v>
      </c>
      <c r="F26" s="1">
        <v>23</v>
      </c>
      <c r="G26" s="1">
        <v>0.66666666666666663</v>
      </c>
      <c r="H26" s="1">
        <v>0.72727272727272729</v>
      </c>
      <c r="L26" s="2"/>
      <c r="M26" s="2"/>
    </row>
    <row r="27" spans="1:13" ht="14.25" customHeight="1">
      <c r="A27" s="1" t="s">
        <v>6</v>
      </c>
      <c r="B27" s="1">
        <v>16</v>
      </c>
      <c r="C27" s="1">
        <v>42</v>
      </c>
      <c r="D27" s="1">
        <v>12</v>
      </c>
      <c r="E27" s="1">
        <v>54</v>
      </c>
      <c r="F27" s="1">
        <v>19</v>
      </c>
      <c r="G27" s="1">
        <v>0.79245283018867929</v>
      </c>
      <c r="H27" s="1">
        <v>0.66666666666666663</v>
      </c>
      <c r="L27" s="2"/>
      <c r="M27" s="2"/>
    </row>
    <row r="28" spans="1:13" ht="14.25" customHeight="1">
      <c r="A28" s="1" t="s">
        <v>6</v>
      </c>
      <c r="B28" s="1">
        <v>17</v>
      </c>
      <c r="C28" s="1">
        <v>33</v>
      </c>
      <c r="D28" s="1">
        <v>14</v>
      </c>
      <c r="E28" s="1">
        <v>47</v>
      </c>
      <c r="F28" s="1">
        <v>23</v>
      </c>
      <c r="G28" s="1">
        <v>0.71739130434782605</v>
      </c>
      <c r="H28" s="1">
        <v>0.63636363636363635</v>
      </c>
      <c r="L28" s="2"/>
      <c r="M28" s="2"/>
    </row>
    <row r="29" spans="1:13" ht="14.25" customHeight="1">
      <c r="A29" s="1" t="s">
        <v>6</v>
      </c>
      <c r="B29" s="1">
        <v>18</v>
      </c>
      <c r="C29" s="1">
        <v>27</v>
      </c>
      <c r="D29" s="1">
        <v>16</v>
      </c>
      <c r="E29" s="1">
        <v>43</v>
      </c>
      <c r="F29" s="1">
        <v>25</v>
      </c>
      <c r="G29" s="1">
        <v>0.6428571428571429</v>
      </c>
      <c r="H29" s="1">
        <v>0.66666666666666663</v>
      </c>
      <c r="L29" s="2"/>
      <c r="M29" s="2"/>
    </row>
    <row r="30" spans="1:13" ht="14.25" customHeight="1">
      <c r="A30" s="1" t="s">
        <v>6</v>
      </c>
      <c r="B30" s="1">
        <v>19</v>
      </c>
      <c r="C30" s="1">
        <v>32</v>
      </c>
      <c r="D30" s="1">
        <v>15</v>
      </c>
      <c r="E30" s="1">
        <v>47</v>
      </c>
      <c r="F30" s="1">
        <v>23</v>
      </c>
      <c r="G30" s="1">
        <v>0.69565217391304346</v>
      </c>
      <c r="H30" s="1">
        <v>0.68181818181818177</v>
      </c>
      <c r="L30" s="2"/>
      <c r="M30" s="2"/>
    </row>
    <row r="31" spans="1:13" ht="14.25" customHeight="1">
      <c r="A31" s="1" t="s">
        <v>6</v>
      </c>
      <c r="B31" s="1">
        <v>20</v>
      </c>
      <c r="C31" s="1">
        <v>21</v>
      </c>
      <c r="D31" s="1">
        <v>19</v>
      </c>
      <c r="E31" s="1">
        <v>40</v>
      </c>
      <c r="F31" s="1">
        <v>27</v>
      </c>
      <c r="G31" s="1">
        <v>0.53846153846153844</v>
      </c>
      <c r="H31" s="1">
        <v>0.73076923076923073</v>
      </c>
      <c r="L31" s="2"/>
      <c r="M31" s="2"/>
    </row>
    <row r="32" spans="1:1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511811024" right="0.511811024" top="0.78740157499999996" bottom="0.78740157499999996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Inital training stage</vt:lpstr>
      <vt:lpstr>Final training stage</vt:lpstr>
      <vt:lpstr>Left x Right</vt:lpstr>
      <vt:lpstr>After correct x After error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Firmino Rodrigues Neto mascote</dc:creator>
  <cp:lastModifiedBy>***</cp:lastModifiedBy>
  <dcterms:created xsi:type="dcterms:W3CDTF">2026-01-05T14:05:13Z</dcterms:created>
  <dcterms:modified xsi:type="dcterms:W3CDTF">2026-01-24T17:48:26Z</dcterms:modified>
</cp:coreProperties>
</file>